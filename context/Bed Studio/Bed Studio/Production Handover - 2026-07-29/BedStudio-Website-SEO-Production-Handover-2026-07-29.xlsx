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8b2922dc9746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bsite Structure" sheetId="1" r:id="Rcbf2254e47e94f2d"/>
    <x:sheet xmlns:r="http://schemas.openxmlformats.org/officeDocument/2006/relationships" name="Navigation" sheetId="2" r:id="R444685e6f0924064"/>
    <x:sheet xmlns:r="http://schemas.openxmlformats.org/officeDocument/2006/relationships" name="Keyword Map" sheetId="3" r:id="Rfa7b6813016640c1"/>
    <x:sheet xmlns:r="http://schemas.openxmlformats.org/officeDocument/2006/relationships" name="Product Audit" sheetId="4" r:id="Re434c1bd45954134"/>
    <x:sheet xmlns:r="http://schemas.openxmlformats.org/officeDocument/2006/relationships" name="Collection Plan" sheetId="5" r:id="R730f4ffbcd6e4895"/>
    <x:sheet xmlns:r="http://schemas.openxmlformats.org/officeDocument/2006/relationships" name="SleepMatch Map" sheetId="6" r:id="R5d7b1f2ba5644bf7"/>
    <x:sheet xmlns:r="http://schemas.openxmlformats.org/officeDocument/2006/relationships" name="Content Roadmap" sheetId="7" r:id="R4fcb516bbf3741a7"/>
    <x:sheet xmlns:r="http://schemas.openxmlformats.org/officeDocument/2006/relationships" name="Launch QA" sheetId="8" r:id="R8caeff9f905c4146"/>
    <x:sheet xmlns:r="http://schemas.openxmlformats.org/officeDocument/2006/relationships" name="Competitors" sheetId="9" r:id="Rdffed57589454fa8"/>
    <x:sheet xmlns:r="http://schemas.openxmlformats.org/officeDocument/2006/relationships" name="Assets Register" sheetId="10" r:id="R999d67a878124730"/>
    <x:sheet xmlns:r="http://schemas.openxmlformats.org/officeDocument/2006/relationships" name="Open Questions" sheetId="11" r:id="R174686def72947eb"/>
    <x:sheet xmlns:r="http://schemas.openxmlformats.org/officeDocument/2006/relationships" name="Source Notes" sheetId="12" r:id="R7e3db7a812c74413"/>
    <x:sheet xmlns:r="http://schemas.openxmlformats.org/officeDocument/2006/relationships" name="Start Here" sheetId="13" r:id="Rc188f3d3dd5f4ec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94C60"/>
      <x:name val="Carlito"/>
    </x:font>
    <x:font>
      <x:b/>
      <x:sz val="10"/>
      <x:color rgb="FFFFFFFF"/>
      <x:name val="Carlito"/>
    </x:font>
    <x:font>
      <x:sz val="9"/>
      <x:color rgb="FF1E293B"/>
      <x:name val="Carlito"/>
    </x:font>
    <x:font>
      <x:b/>
      <x:sz val="20"/>
      <x:color rgb="FFFFFFFF"/>
      <x:name val="Carlito"/>
    </x:font>
    <x:font>
      <x:b/>
      <x:sz val="11"/>
      <x:color rgb="FFFFFFFF"/>
      <x:name val="Carlito"/>
    </x:font>
    <x:font>
      <x:b/>
      <x:sz val="11"/>
      <x:color rgb="FF14213D"/>
      <x:name val="Carlito"/>
    </x:font>
    <x:font>
      <x:sz val="10"/>
      <x:color rgb="FF1E293B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213D"/>
      </x:patternFill>
    </x:fill>
    <x:fill>
      <x:patternFill patternType="solid">
        <x:fgColor rgb="FFF7F3EA"/>
      </x:patternFill>
    </x:fill>
    <x:fill>
      <x:patternFill patternType="solid">
        <x:fgColor rgb="FF294C60"/>
      </x:patternFill>
    </x:fill>
    <x:fill>
      <x:patternFill patternType="solid">
        <x:fgColor rgb="FFFFF1CC"/>
      </x:patternFill>
    </x:fill>
    <x:fill>
      <x:patternFill patternType="solid">
        <x:fgColor rgb="FFC79A3B"/>
      </x:patternFill>
    </x:fill>
    <x:fill>
      <x:patternFill patternType="solid">
        <x:fgColor rgb="FFEEF2F4"/>
      </x:patternFill>
    </x:fill>
  </x:fills>
  <x:borders count="2">
    <x:border/>
    <x:border>
      <x:left style="thin">
        <x:color rgb="FFCDD5DF"/>
      </x:left>
      <x:right style="thin">
        <x:color rgb="FFCDD5DF"/>
      </x:right>
      <x:top style="thin">
        <x:color rgb="FFCDD5DF"/>
      </x:top>
      <x:bottom style="thin">
        <x:color rgb="FFCDD5DF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8" fillId="7" borderId="1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ont>
        <x:b/>
        <x:color rgb="FF14213D"/>
      </x:font>
      <x:fill>
        <x:patternFill patternType="solid">
          <x:bgColor rgb="FFF6D9D5"/>
        </x:patternFill>
      </x:fill>
    </x:dxf>
    <x:dxf>
      <x:font>
        <x:b/>
        <x:color rgb="FF14213D"/>
      </x:font>
      <x:fill>
        <x:patternFill patternType="solid">
          <x:bgColor rgb="FFF6D9D5"/>
        </x:patternFill>
      </x:fill>
    </x:dxf>
    <x:dxf>
      <x:font>
        <x:b/>
        <x:color rgb="FF14213D"/>
      </x:font>
      <x:fill>
        <x:patternFill patternType="solid">
          <x:bgColor rgb="FFDDEBDD"/>
        </x:patternFill>
      </x:fill>
    </x:dxf>
    <x:dxf>
      <x:font>
        <x:b/>
        <x:color rgb="FF14213D"/>
      </x:font>
      <x:fill>
        <x:patternFill patternType="solid">
          <x:bgColor rgb="FFF6D9D5"/>
        </x:patternFill>
      </x:fill>
    </x:dxf>
    <x:dxf>
      <x:font>
        <x:b/>
        <x:color rgb="FF14213D"/>
      </x:font>
      <x:fill>
        <x:patternFill patternType="solid">
          <x:bgColor rgb="FFF6D9D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93c01ea6684506" /><Relationship Type="http://schemas.openxmlformats.org/officeDocument/2006/relationships/theme" Target="/xl/theme/theme1.xml" Id="Rc563e192e68a42a7" /><Relationship Type="http://schemas.openxmlformats.org/officeDocument/2006/relationships/sharedStrings" Target="/xl/sharedStrings.xml" Id="Rdfc526fefbd64e68" /><Relationship Type="http://schemas.openxmlformats.org/officeDocument/2006/relationships/worksheet" Target="/xl/worksheets/sheet1.xml" Id="Rcbf2254e47e94f2d" /><Relationship Type="http://schemas.openxmlformats.org/officeDocument/2006/relationships/worksheet" Target="/xl/worksheets/sheet2.xml" Id="R444685e6f0924064" /><Relationship Type="http://schemas.openxmlformats.org/officeDocument/2006/relationships/worksheet" Target="/xl/worksheets/sheet3.xml" Id="Rfa7b6813016640c1" /><Relationship Type="http://schemas.openxmlformats.org/officeDocument/2006/relationships/worksheet" Target="/xl/worksheets/sheet4.xml" Id="Re434c1bd45954134" /><Relationship Type="http://schemas.openxmlformats.org/officeDocument/2006/relationships/worksheet" Target="/xl/worksheets/sheet5.xml" Id="R730f4ffbcd6e4895" /><Relationship Type="http://schemas.openxmlformats.org/officeDocument/2006/relationships/worksheet" Target="/xl/worksheets/sheet6.xml" Id="R5d7b1f2ba5644bf7" /><Relationship Type="http://schemas.openxmlformats.org/officeDocument/2006/relationships/worksheet" Target="/xl/worksheets/sheet7.xml" Id="R4fcb516bbf3741a7" /><Relationship Type="http://schemas.openxmlformats.org/officeDocument/2006/relationships/worksheet" Target="/xl/worksheets/sheet8.xml" Id="R8caeff9f905c4146" /><Relationship Type="http://schemas.openxmlformats.org/officeDocument/2006/relationships/worksheet" Target="/xl/worksheets/sheet9.xml" Id="Rdffed57589454fa8" /><Relationship Type="http://schemas.openxmlformats.org/officeDocument/2006/relationships/worksheet" Target="/xl/worksheets/sheet10.xml" Id="R999d67a878124730" /><Relationship Type="http://schemas.openxmlformats.org/officeDocument/2006/relationships/worksheet" Target="/xl/worksheets/sheet11.xml" Id="R174686def72947eb" /><Relationship Type="http://schemas.openxmlformats.org/officeDocument/2006/relationships/worksheet" Target="/xl/worksheets/sheet12.xml" Id="R7e3db7a812c74413" /><Relationship Type="http://schemas.openxmlformats.org/officeDocument/2006/relationships/worksheet" Target="/xl/worksheets/sheet13.xml" Id="Rc188f3d3dd5f4ecf" /></Relationships>
</file>

<file path=xl/tables/table1.xml><?xml version="1.0" encoding="utf-8"?>
<x:table xmlns:x="http://schemas.openxmlformats.org/spreadsheetml/2006/main" id="1" name="WebsiteStructureTable" displayName="WebsiteStructureTable" ref="A4:I27" headerRowCount="1" totalsRowCount="0" totalsRowShown="0">
  <x:tableColumns count="9">
    <x:tableColumn id="1" name="Priority"/>
    <x:tableColumn id="2" name="Page"/>
    <x:tableColumn id="3" name="Recommended URL"/>
    <x:tableColumn id="4" name="Page Type"/>
    <x:tableColumn id="5" name="Primary Search Intent"/>
    <x:tableColumn id="6" name="Primary CTA"/>
    <x:tableColumn id="7" name="Required Content / Proof"/>
    <x:tableColumn id="8" name="Phase"/>
    <x:tableColumn id="9" name="Status /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NavigationTable" displayName="NavigationTable" ref="A4:D21" headerRowCount="1" totalsRowCount="0" totalsRowShown="0">
  <x:tableColumns count="4">
    <x:tableColumn id="1" name="Top Level"/>
    <x:tableColumn id="2" name="Second Level"/>
    <x:tableColumn id="3" name="Destination"/>
    <x:tableColumn id="4" name="Implementation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KeywordMapTable" displayName="KeywordMapTable" ref="A4:I20" headerRowCount="1" totalsRowCount="0" totalsRowShown="0">
  <x:tableColumns count="9">
    <x:tableColumn id="1" name="Keyword"/>
    <x:tableColumn id="2" name="Market"/>
    <x:tableColumn id="3" name="Intent"/>
    <x:tableColumn id="4" name="Target Page"/>
    <x:tableColumn id="5" name="Priority"/>
    <x:tableColumn id="6" name="Exact Position"/>
    <x:tableColumn id="7" name="Public Spot-Check"/>
    <x:tableColumn id="8" name="Recommended Action"/>
    <x:tableColumn id="9" name="Check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roductAuditTable" displayName="ProductAuditTable" ref="A4:R147" headerRowCount="1" totalsRowCount="0" totalsRowShown="0">
  <x:tableColumns count="18">
    <x:tableColumn id="1" name="Handle"/>
    <x:tableColumn id="2" name="Title"/>
    <x:tableColumn id="3" name="Product Type"/>
    <x:tableColumn id="4" name="Product Category"/>
    <x:tableColumn id="5" name="Vendor"/>
    <x:tableColumn id="6" name="Published"/>
    <x:tableColumn id="7" name="Status"/>
    <x:tableColumn id="8" name="Feel"/>
    <x:tableColumn id="9" name="Sleeper Type"/>
    <x:tableColumn id="10" name="Foam / Spring"/>
    <x:tableColumn id="11" name="Options"/>
    <x:tableColumn id="12" name="Price Min"/>
    <x:tableColumn id="13" name="Price Max"/>
    <x:tableColumn id="14" name="Compare At Max"/>
    <x:tableColumn id="15" name="Image Count"/>
    <x:tableColumn id="16" name="Budget Beds Wording"/>
    <x:tableColumn id="17" name="Recommended Fit"/>
    <x:tableColumn id="18" name="Rationa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llectionPlanTable" displayName="CollectionPlanTable" ref="A4:F15" headerRowCount="1" totalsRowCount="0" totalsRowShown="0">
  <x:tableColumns count="6">
    <x:tableColumn id="1" name="Collection"/>
    <x:tableColumn id="2" name="URL"/>
    <x:tableColumn id="3" name="Inclusion Rule"/>
    <x:tableColumn id="4" name="Filters"/>
    <x:tableColumn id="5" name="Priority"/>
    <x:tableColumn id="6" name="SEO / QA No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leepMatchTable" displayName="SleepMatchTable" ref="A4:D14" headerRowCount="1" totalsRowCount="0" totalsRowShown="0">
  <x:tableColumns count="4">
    <x:tableColumn id="1" name="Dimension"/>
    <x:tableColumn id="2" name="Choice"/>
    <x:tableColumn id="3" name="Guidance"/>
    <x:tableColumn id="4" name="Copy Guardrail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ontentRoadmapTable" displayName="ContentRoadmapTable" ref="A4:H17" headerRowCount="1" totalsRowCount="0" totalsRowShown="0">
  <x:tableColumns count="8">
    <x:tableColumn id="1" name="Order"/>
    <x:tableColumn id="2" name="Wave"/>
    <x:tableColumn id="3" name="Deliverable"/>
    <x:tableColumn id="4" name="Owner"/>
    <x:tableColumn id="5" name="Priority"/>
    <x:tableColumn id="6" name="Status"/>
    <x:tableColumn id="7" name="Required Input"/>
    <x:tableColumn id="8" name="Definition Of Don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LaunchQATable" displayName="LaunchQATable" ref="A4:F20" headerRowCount="1" totalsRowCount="0" totalsRowShown="0">
  <x:tableColumns count="6">
    <x:tableColumn id="1" name="Area"/>
    <x:tableColumn id="2" name="Finding / Requirement"/>
    <x:tableColumn id="3" name="Risk"/>
    <x:tableColumn id="4" name="Action"/>
    <x:tableColumn id="5" name="Owner"/>
    <x:tableColumn id="6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ompetitorTable" displayName="CompetitorTable" ref="A4:E12" headerRowCount="1" totalsRowCount="0" totalsRowShown="0">
  <x:tableColumns count="5">
    <x:tableColumn id="1" name="Competitor"/>
    <x:tableColumn id="2" name="Market"/>
    <x:tableColumn id="3" name="Visible Strength"/>
    <x:tableColumn id="4" name="Bed Studio Response"/>
    <x:tableColumn id="5" name="Sourc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ssetsTable" displayName="AssetsTable" ref="A4:E17" headerRowCount="1" totalsRowCount="0" totalsRowShown="0">
  <x:tableColumns count="5">
    <x:tableColumn id="1" name="File"/>
    <x:tableColumn id="2" name="Source"/>
    <x:tableColumn id="3" name="Suggested Use"/>
    <x:tableColumn id="4" name="Approval / Guardrail"/>
    <x:tableColumn id="5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OpenQuestionsTable" displayName="OpenQuestionsTable" ref="A4:D20" headerRowCount="1" totalsRowCount="0" totalsRowShown="0">
  <x:tableColumns count="4">
    <x:tableColumn id="1" name="Area"/>
    <x:tableColumn id="2" name="Question / Required Input"/>
    <x:tableColumn id="3" name="Owner"/>
    <x:tableColumn id="4" name="Needed By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ourceNotesTable" displayName="SourceNotesTable" ref="A4:E17" headerRowCount="1" totalsRowCount="0" totalsRowShown="0">
  <x:tableColumns count="5">
    <x:tableColumn id="1" name="Source"/>
    <x:tableColumn id="2" name="File / Item"/>
    <x:tableColumn id="3" name="Date"/>
    <x:tableColumn id="4" name="Use"/>
    <x:tableColumn id="5" name="Location /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d07e9d15cf496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6f50ddce62e461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cd9d85b3b4492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eb82f108d0144c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14d4e4971704d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d0908429c3c43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bf9357e169ff4dc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b18c39874b04a8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3f4ff5605ef149e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0dab5d5f552c428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9b33e1444dda418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e72ca701c1564c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3" hidden="0" customWidth="1"/>
    <x:col min="3" max="3" width="37" hidden="0" customWidth="1"/>
    <x:col min="4" max="4" width="15" hidden="0" customWidth="1"/>
    <x:col min="5" max="5" width="31" hidden="0" customWidth="1"/>
    <x:col min="6" max="6" width="25" hidden="0" customWidth="1"/>
    <x:col min="7" max="7" width="48" hidden="0" customWidth="1"/>
    <x:col min="8" max="8" width="12" hidden="0" customWidth="1"/>
    <x:col min="9" max="9" width="30" hidden="0" customWidth="1"/>
  </x:cols>
  <x:sheetData>
    <x:row r="1" ht="30" customHeight="1">
      <x:c r="A1" s="3" t="str">
        <x:v>Bed Studio Website Structure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Working URL and page ownership map for the Prestige production build.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2" t="str">
        <x:v>Priority</x:v>
      </x:c>
      <x:c r="B4" s="12" t="str">
        <x:v>Page</x:v>
      </x:c>
      <x:c r="C4" s="12" t="str">
        <x:v>Recommended URL</x:v>
      </x:c>
      <x:c r="D4" s="12" t="str">
        <x:v>Page Type</x:v>
      </x:c>
      <x:c r="E4" s="12" t="str">
        <x:v>Primary Search Intent</x:v>
      </x:c>
      <x:c r="F4" s="12" t="str">
        <x:v>Primary CTA</x:v>
      </x:c>
      <x:c r="G4" s="12" t="str">
        <x:v>Required Content / Proof</x:v>
      </x:c>
      <x:c r="H4" s="12" t="str">
        <x:v>Phase</x:v>
      </x:c>
      <x:c r="I4" s="12" t="str">
        <x:v>Status / Note</x:v>
      </x:c>
    </x:row>
    <x:row r="5" ht="34" customHeight="1">
      <x:c r="A5" s="16" t="str">
        <x:v>P0</x:v>
      </x:c>
      <x:c r="B5" s="16" t="str">
        <x:v>Homepage</x:v>
      </x:c>
      <x:c r="C5" s="16" t="str">
        <x:v>/</x:v>
      </x:c>
      <x:c r="D5" s="16" t="str">
        <x:v>Core</x:v>
      </x:c>
      <x:c r="E5" s="16" t="str">
        <x:v>Premium beds and mattresses Auckland; brand</x:v>
      </x:c>
      <x:c r="F5" s="16" t="str">
        <x:v>Shop products; visit showroom</x:v>
      </x:c>
      <x:c r="G5" s="16" t="str">
        <x:v>Newmarket hero, categories, SleepMatch, NZ-made proof, featured products, trust, showroom</x:v>
      </x:c>
      <x:c r="H5" s="16" t="str">
        <x:v>Launch</x:v>
      </x:c>
      <x:c r="I5" s="16" t="str">
        <x:v>Build in unpublished Prestige</x:v>
      </x:c>
    </x:row>
    <x:row r="6" ht="34" customHeight="1">
      <x:c r="A6" s="16" t="str">
        <x:v>P0</x:v>
      </x:c>
      <x:c r="B6" s="16" t="str">
        <x:v>Newmarket Showroom</x:v>
      </x:c>
      <x:c r="C6" s="16" t="str">
        <x:v>/pages/newmarket-showroom</x:v>
      </x:c>
      <x:c r="D6" s="16" t="str">
        <x:v>Local</x:v>
      </x:c>
      <x:c r="E6" s="16" t="str">
        <x:v>bed shop Newmarket; mattress store Newmarket</x:v>
      </x:c>
      <x:c r="F6" s="16" t="str">
        <x:v>Get directions; call; visit</x:v>
      </x:c>
      <x:c r="G6" s="16" t="str">
        <x:v>NAP, map, hours, parking, photos, staff, showroom experience</x:v>
      </x:c>
      <x:c r="H6" s="16" t="str">
        <x:v>Launch</x:v>
      </x:c>
      <x:c r="I6" s="16" t="str">
        <x:v>Hours and parking pending</x:v>
      </x:c>
    </x:row>
    <x:row r="7" ht="34" customHeight="1">
      <x:c r="A7" s="16" t="str">
        <x:v>P0</x:v>
      </x:c>
      <x:c r="B7" s="16" t="str">
        <x:v>Mattresses</x:v>
      </x:c>
      <x:c r="C7" s="16" t="str">
        <x:v>/collections/mattresses</x:v>
      </x:c>
      <x:c r="D7" s="16" t="str">
        <x:v>Collection</x:v>
      </x:c>
      <x:c r="E7" s="16" t="str">
        <x:v>mattresses Auckland</x:v>
      </x:c>
      <x:c r="F7" s="16" t="str">
        <x:v>Shop; compare; visit showroom</x:v>
      </x:c>
      <x:c r="G7" s="16" t="str">
        <x:v>Feel and sleeper guidance, product grid, FAQs</x:v>
      </x:c>
      <x:c r="H7" s="16" t="str">
        <x:v>Launch</x:v>
      </x:c>
      <x:c r="I7" s="16" t="str">
        <x:v>Required</x:v>
      </x:c>
    </x:row>
    <x:row r="8" ht="34" customHeight="1">
      <x:c r="A8" s="16" t="str">
        <x:v>P0</x:v>
      </x:c>
      <x:c r="B8" s="16" t="str">
        <x:v>Beds &amp; Bases</x:v>
      </x:c>
      <x:c r="C8" s="16" t="str">
        <x:v>/collections/beds-and-bases</x:v>
      </x:c>
      <x:c r="D8" s="16" t="str">
        <x:v>Collection</x:v>
      </x:c>
      <x:c r="E8" s="16" t="str">
        <x:v>beds Auckland; bed bases Auckland</x:v>
      </x:c>
      <x:c r="F8" s="16" t="str">
        <x:v>Shop; customise</x:v>
      </x:c>
      <x:c r="G8" s="16" t="str">
        <x:v>Base types, fabric, storage and sizing guidance</x:v>
      </x:c>
      <x:c r="H8" s="16" t="str">
        <x:v>Launch</x:v>
      </x:c>
      <x:c r="I8" s="16" t="str">
        <x:v>Required</x:v>
      </x:c>
    </x:row>
    <x:row r="9" ht="34" customHeight="1">
      <x:c r="A9" s="16" t="str">
        <x:v>P0</x:v>
      </x:c>
      <x:c r="B9" s="16" t="str">
        <x:v>Headboards</x:v>
      </x:c>
      <x:c r="C9" s="16" t="str">
        <x:v>/collections/headboards</x:v>
      </x:c>
      <x:c r="D9" s="16" t="str">
        <x:v>Collection</x:v>
      </x:c>
      <x:c r="E9" s="16" t="str">
        <x:v>headboards Auckland</x:v>
      </x:c>
      <x:c r="F9" s="16" t="str">
        <x:v>Shop; choose fabric</x:v>
      </x:c>
      <x:c r="G9" s="16" t="str">
        <x:v>Styles, sizes, fabric and customisation</x:v>
      </x:c>
      <x:c r="H9" s="16" t="str">
        <x:v>Launch</x:v>
      </x:c>
      <x:c r="I9" s="16" t="str">
        <x:v>Required</x:v>
      </x:c>
    </x:row>
    <x:row r="10" ht="34" customHeight="1">
      <x:c r="A10" s="16" t="str">
        <x:v>P0</x:v>
      </x:c>
      <x:c r="B10" s="16" t="str">
        <x:v>Storage Beds</x:v>
      </x:c>
      <x:c r="C10" s="16" t="str">
        <x:v>/collections/storage-beds</x:v>
      </x:c>
      <x:c r="D10" s="16" t="str">
        <x:v>Collection</x:v>
      </x:c>
      <x:c r="E10" s="16" t="str">
        <x:v>storage beds Auckland</x:v>
      </x:c>
      <x:c r="F10" s="16" t="str">
        <x:v>Shop; discuss configuration</x:v>
      </x:c>
      <x:c r="G10" s="16" t="str">
        <x:v>Gas lift, drawers, room planning, delivery</x:v>
      </x:c>
      <x:c r="H10" s="16" t="str">
        <x:v>Launch</x:v>
      </x:c>
      <x:c r="I10" s="16" t="str">
        <x:v>Required</x:v>
      </x:c>
    </x:row>
    <x:row r="11" ht="34" customHeight="1">
      <x:c r="A11" s="16" t="str">
        <x:v>P0</x:v>
      </x:c>
      <x:c r="B11" s="16" t="str">
        <x:v>Adjustable Beds</x:v>
      </x:c>
      <x:c r="C11" s="16" t="str">
        <x:v>/collections/adjustable-beds</x:v>
      </x:c>
      <x:c r="D11" s="16" t="str">
        <x:v>Collection</x:v>
      </x:c>
      <x:c r="E11" s="16" t="str">
        <x:v>adjustable beds Auckland</x:v>
      </x:c>
      <x:c r="F11" s="16" t="str">
        <x:v>Book showroom trial</x:v>
      </x:c>
      <x:c r="G11" s="16" t="str">
        <x:v>Use cases, compatible mattresses, controls, warranty</x:v>
      </x:c>
      <x:c r="H11" s="16" t="str">
        <x:v>Launch</x:v>
      </x:c>
      <x:c r="I11" s="16" t="str">
        <x:v>Product range confirmation needed</x:v>
      </x:c>
    </x:row>
    <x:row r="12" ht="34" customHeight="1">
      <x:c r="A12" s="16" t="str">
        <x:v>P0</x:v>
      </x:c>
      <x:c r="B12" s="16" t="str">
        <x:v>NZ-Made</x:v>
      </x:c>
      <x:c r="C12" s="16" t="str">
        <x:v>/collections/nz-made-beds-and-mattresses</x:v>
      </x:c>
      <x:c r="D12" s="16" t="str">
        <x:v>Collection</x:v>
      </x:c>
      <x:c r="E12" s="16" t="str">
        <x:v>NZ made beds and mattresses</x:v>
      </x:c>
      <x:c r="F12" s="16" t="str">
        <x:v>Shop NZ-made</x:v>
      </x:c>
      <x:c r="G12" s="16" t="str">
        <x:v>Only verified NZ-made products and proof</x:v>
      </x:c>
      <x:c r="H12" s="16" t="str">
        <x:v>Launch</x:v>
      </x:c>
      <x:c r="I12" s="16" t="str">
        <x:v>Claims must be product-specific</x:v>
      </x:c>
    </x:row>
    <x:row r="13" ht="34" customHeight="1">
      <x:c r="A13" s="16" t="str">
        <x:v>P0</x:v>
      </x:c>
      <x:c r="B13" s="16" t="str">
        <x:v>SleepMatch</x:v>
      </x:c>
      <x:c r="C13" s="16" t="str">
        <x:v>/pages/sleepmatch</x:v>
      </x:c>
      <x:c r="D13" s="16" t="str">
        <x:v>Guided shopping</x:v>
      </x:c>
      <x:c r="E13" s="16" t="str">
        <x:v>mattress finder by feel and sleeper</x:v>
      </x:c>
      <x:c r="F13" s="16" t="str">
        <x:v>Find a match; visit showroom</x:v>
      </x:c>
      <x:c r="G13" s="16" t="str">
        <x:v>Size, Feel and Sleeper Type selector with disclaimer</x:v>
      </x:c>
      <x:c r="H13" s="16" t="str">
        <x:v>Launch</x:v>
      </x:c>
      <x:c r="I13" s="16" t="str">
        <x:v>Educational, not medical advice</x:v>
      </x:c>
    </x:row>
    <x:row r="14" ht="34" customHeight="1">
      <x:c r="A14" s="16" t="str">
        <x:v>P0</x:v>
      </x:c>
      <x:c r="B14" s="16" t="str">
        <x:v>Contact</x:v>
      </x:c>
      <x:c r="C14" s="16" t="str">
        <x:v>/pages/contact</x:v>
      </x:c>
      <x:c r="D14" s="16" t="str">
        <x:v>Trust</x:v>
      </x:c>
      <x:c r="E14" s="16" t="str">
        <x:v>Bed Studio contact Newmarket</x:v>
      </x:c>
      <x:c r="F14" s="16" t="str">
        <x:v>Call; email; directions</x:v>
      </x:c>
      <x:c r="G14" s="16" t="str">
        <x:v>NAP, hours, map, enquiry form</x:v>
      </x:c>
      <x:c r="H14" s="16" t="str">
        <x:v>Launch</x:v>
      </x:c>
      <x:c r="I14" s="16" t="str">
        <x:v>Existing page requires QA</x:v>
      </x:c>
    </x:row>
    <x:row r="15" ht="34" customHeight="1">
      <x:c r="A15" s="16" t="str">
        <x:v>P1</x:v>
      </x:c>
      <x:c r="B15" s="16" t="str">
        <x:v>About Bed Studio</x:v>
      </x:c>
      <x:c r="C15" s="16" t="str">
        <x:v>/pages/about-bed-studio</x:v>
      </x:c>
      <x:c r="D15" s="16" t="str">
        <x:v>Trust</x:v>
      </x:c>
      <x:c r="E15" s="16" t="str">
        <x:v>Bed Studio Newmarket</x:v>
      </x:c>
      <x:c r="F15" s="16" t="str">
        <x:v>Visit showroom</x:v>
      </x:c>
      <x:c r="G15" s="16" t="str">
        <x:v>Story, premium positioning, real advice, NZ-made/custom proof</x:v>
      </x:c>
      <x:c r="H15" s="16" t="str">
        <x:v>Wave 2</x:v>
      </x:c>
      <x:c r="I15" s="16" t="str">
        <x:v>Team/founder proof needed</x:v>
      </x:c>
    </x:row>
    <x:row r="16" ht="34" customHeight="1">
      <x:c r="A16" s="16" t="str">
        <x:v>P1</x:v>
      </x:c>
      <x:c r="B16" s="16" t="str">
        <x:v>Delivery &amp; Assembly</x:v>
      </x:c>
      <x:c r="C16" s="16" t="str">
        <x:v>/pages/delivery-and-assembly</x:v>
      </x:c>
      <x:c r="D16" s="16" t="str">
        <x:v>Support</x:v>
      </x:c>
      <x:c r="E16" s="16" t="str">
        <x:v>bed delivery Auckland</x:v>
      </x:c>
      <x:c r="F16" s="16" t="str">
        <x:v>Confirm delivery</x:v>
      </x:c>
      <x:c r="G16" s="16" t="str">
        <x:v>Areas, fees, access, setup, removal</x:v>
      </x:c>
      <x:c r="H16" s="16" t="str">
        <x:v>Wave 2</x:v>
      </x:c>
      <x:c r="I16" s="16" t="str">
        <x:v>All policy wording pending</x:v>
      </x:c>
    </x:row>
    <x:row r="17" ht="34" customHeight="1">
      <x:c r="A17" s="16" t="str">
        <x:v>P1</x:v>
      </x:c>
      <x:c r="B17" s="16" t="str">
        <x:v>Warranty &amp; Returns</x:v>
      </x:c>
      <x:c r="C17" s="16" t="str">
        <x:v>/pages/warranty-and-returns</x:v>
      </x:c>
      <x:c r="D17" s="16" t="str">
        <x:v>Support</x:v>
      </x:c>
      <x:c r="E17" s="16" t="str">
        <x:v>mattress warranty NZ</x:v>
      </x:c>
      <x:c r="F17" s="16" t="str">
        <x:v>Review terms</x:v>
      </x:c>
      <x:c r="G17" s="16" t="str">
        <x:v>Product-specific warranties and returns</x:v>
      </x:c>
      <x:c r="H17" s="16" t="str">
        <x:v>Wave 2</x:v>
      </x:c>
      <x:c r="I17" s="16" t="str">
        <x:v>Client approval required</x:v>
      </x:c>
    </x:row>
    <x:row r="18" ht="34" customHeight="1">
      <x:c r="A18" s="16" t="str">
        <x:v>P1</x:v>
      </x:c>
      <x:c r="B18" s="16" t="str">
        <x:v>Finance &amp; Payment</x:v>
      </x:c>
      <x:c r="C18" s="16" t="str">
        <x:v>/pages/finance-and-payment-options</x:v>
      </x:c>
      <x:c r="D18" s="16" t="str">
        <x:v>Support</x:v>
      </x:c>
      <x:c r="E18" s="16" t="str">
        <x:v>bed finance Auckland</x:v>
      </x:c>
      <x:c r="F18" s="16" t="str">
        <x:v>View approved options</x:v>
      </x:c>
      <x:c r="G18" s="16" t="str">
        <x:v>Providers, eligibility, legal terms</x:v>
      </x:c>
      <x:c r="H18" s="16" t="str">
        <x:v>Wave 2</x:v>
      </x:c>
      <x:c r="I18" s="16" t="str">
        <x:v>Do not publish unconfirmed offers</x:v>
      </x:c>
    </x:row>
    <x:row r="19" ht="34" customHeight="1">
      <x:c r="A19" s="16" t="str">
        <x:v>P1</x:v>
      </x:c>
      <x:c r="B19" s="16" t="str">
        <x:v>FAQs</x:v>
      </x:c>
      <x:c r="C19" s="16" t="str">
        <x:v>/pages/faqs</x:v>
      </x:c>
      <x:c r="D19" s="16" t="str">
        <x:v>Support</x:v>
      </x:c>
      <x:c r="E19" s="16" t="str">
        <x:v>Bed Studio FAQs</x:v>
      </x:c>
      <x:c r="F19" s="16" t="str">
        <x:v>Get an answer; contact</x:v>
      </x:c>
      <x:c r="G19" s="16" t="str">
        <x:v>Showroom, buying, custom, delivery and warranty questions</x:v>
      </x:c>
      <x:c r="H19" s="16" t="str">
        <x:v>Wave 2</x:v>
      </x:c>
      <x:c r="I19" s="16" t="str">
        <x:v>Use confirmed answers only</x:v>
      </x:c>
    </x:row>
    <x:row r="20" ht="34" customHeight="1">
      <x:c r="A20" s="16" t="str">
        <x:v>P2</x:v>
      </x:c>
      <x:c r="B20" s="16" t="str">
        <x:v>Mattress Buying Guide</x:v>
      </x:c>
      <x:c r="C20" s="16" t="str">
        <x:v>/blogs/sleep-guides/mattress-buying-guide-nz</x:v>
      </x:c>
      <x:c r="D20" s="16" t="str">
        <x:v>Guide</x:v>
      </x:c>
      <x:c r="E20" s="16" t="str">
        <x:v>mattress buying guide NZ</x:v>
      </x:c>
      <x:c r="F20" s="16" t="str">
        <x:v>Use SleepMatch; shop</x:v>
      </x:c>
      <x:c r="G20" s="16" t="str">
        <x:v>Decision guide with internal links</x:v>
      </x:c>
      <x:c r="H20" s="16" t="str">
        <x:v>Wave 4</x:v>
      </x:c>
      <x:c r="I20" s="16" t="str">
        <x:v>Draft after core collections</x:v>
      </x:c>
    </x:row>
    <x:row r="21" ht="34" customHeight="1">
      <x:c r="A21" s="16" t="str">
        <x:v>P2</x:v>
      </x:c>
      <x:c r="B21" s="16" t="str">
        <x:v>Mattress Sizes NZ</x:v>
      </x:c>
      <x:c r="C21" s="16" t="str">
        <x:v>/blogs/sleep-guides/mattress-sizes-nz</x:v>
      </x:c>
      <x:c r="D21" s="16" t="str">
        <x:v>Guide</x:v>
      </x:c>
      <x:c r="E21" s="16" t="str">
        <x:v>mattress sizes NZ</x:v>
      </x:c>
      <x:c r="F21" s="16" t="str">
        <x:v>Shop by size</x:v>
      </x:c>
      <x:c r="G21" s="16" t="str">
        <x:v>Dimensions, room fit and measuring</x:v>
      </x:c>
      <x:c r="H21" s="16" t="str">
        <x:v>Wave 4</x:v>
      </x:c>
      <x:c r="I21" s="16" t="str">
        <x:v>Verify dimensions</x:v>
      </x:c>
    </x:row>
    <x:row r="22" ht="34" customHeight="1">
      <x:c r="A22" s="16" t="str">
        <x:v>P2</x:v>
      </x:c>
      <x:c r="B22" s="16" t="str">
        <x:v>Feel Guide</x:v>
      </x:c>
      <x:c r="C22" s="16" t="str">
        <x:v>/blogs/sleep-guides/plush-vs-medium-vs-firm-mattress</x:v>
      </x:c>
      <x:c r="D22" s="16" t="str">
        <x:v>Guide</x:v>
      </x:c>
      <x:c r="E22" s="16" t="str">
        <x:v>plush vs medium vs firm mattress</x:v>
      </x:c>
      <x:c r="F22" s="16" t="str">
        <x:v>Use SleepMatch</x:v>
      </x:c>
      <x:c r="G22" s="16" t="str">
        <x:v>Feel comparison, trade-offs and showroom test</x:v>
      </x:c>
      <x:c r="H22" s="16" t="str">
        <x:v>Wave 4</x:v>
      </x:c>
      <x:c r="I22" s="16" t="str">
        <x:v>High priority</x:v>
      </x:c>
    </x:row>
    <x:row r="23" ht="34" customHeight="1">
      <x:c r="A23" s="16" t="str">
        <x:v>P2</x:v>
      </x:c>
      <x:c r="B23" s="16" t="str">
        <x:v>Side Sleeper Guide</x:v>
      </x:c>
      <x:c r="C23" s="16" t="str">
        <x:v>/blogs/sleep-guides/best-mattress-for-side-sleepers-nz</x:v>
      </x:c>
      <x:c r="D23" s="16" t="str">
        <x:v>Guide</x:v>
      </x:c>
      <x:c r="E23" s="16" t="str">
        <x:v>best mattress for side sleepers NZ</x:v>
      </x:c>
      <x:c r="F23" s="16" t="str">
        <x:v>Use SleepMatch; shop</x:v>
      </x:c>
      <x:c r="G23" s="16" t="str">
        <x:v>Pressure/comfort guidance without health promises</x:v>
      </x:c>
      <x:c r="H23" s="16" t="str">
        <x:v>Wave 4</x:v>
      </x:c>
      <x:c r="I23" s="16" t="str">
        <x:v>High priority</x:v>
      </x:c>
    </x:row>
    <x:row r="24" ht="34" customHeight="1">
      <x:c r="A24" s="16" t="str">
        <x:v>P2</x:v>
      </x:c>
      <x:c r="B24" s="16" t="str">
        <x:v>Back Sleeper Guide</x:v>
      </x:c>
      <x:c r="C24" s="16" t="str">
        <x:v>/blogs/sleep-guides/best-mattress-for-back-sleepers-nz</x:v>
      </x:c>
      <x:c r="D24" s="16" t="str">
        <x:v>Guide</x:v>
      </x:c>
      <x:c r="E24" s="16" t="str">
        <x:v>best mattress for back sleepers NZ</x:v>
      </x:c>
      <x:c r="F24" s="16" t="str">
        <x:v>Use SleepMatch; shop</x:v>
      </x:c>
      <x:c r="G24" s="16" t="str">
        <x:v>Support/feel guidance</x:v>
      </x:c>
      <x:c r="H24" s="16" t="str">
        <x:v>Wave 4</x:v>
      </x:c>
      <x:c r="I24" s="16" t="str">
        <x:v>High priority</x:v>
      </x:c>
    </x:row>
    <x:row r="25" ht="34" customHeight="1">
      <x:c r="A25" s="16" t="str">
        <x:v>P2</x:v>
      </x:c>
      <x:c r="B25" s="16" t="str">
        <x:v>Front Sleeper Guide</x:v>
      </x:c>
      <x:c r="C25" s="16" t="str">
        <x:v>/blogs/sleep-guides/best-mattress-for-front-sleepers-nz</x:v>
      </x:c>
      <x:c r="D25" s="16" t="str">
        <x:v>Guide</x:v>
      </x:c>
      <x:c r="E25" s="16" t="str">
        <x:v>best mattress for stomach sleepers NZ</x:v>
      </x:c>
      <x:c r="F25" s="16" t="str">
        <x:v>Use SleepMatch; shop</x:v>
      </x:c>
      <x:c r="G25" s="16" t="str">
        <x:v>Use both front and stomach terminology naturally</x:v>
      </x:c>
      <x:c r="H25" s="16" t="str">
        <x:v>Wave 4</x:v>
      </x:c>
      <x:c r="I25" s="16" t="str">
        <x:v>High priority</x:v>
      </x:c>
    </x:row>
    <x:row r="26" ht="34" customHeight="1">
      <x:c r="A26" s="16" t="str">
        <x:v>P2</x:v>
      </x:c>
      <x:c r="B26" s="16" t="str">
        <x:v>Hot Sleeper Guide</x:v>
      </x:c>
      <x:c r="C26" s="16" t="str">
        <x:v>/blogs/sleep-guides/mattress-for-hot-sleepers-nz</x:v>
      </x:c>
      <x:c r="D26" s="16" t="str">
        <x:v>Guide</x:v>
      </x:c>
      <x:c r="E26" s="16" t="str">
        <x:v>mattress for hot sleepers NZ</x:v>
      </x:c>
      <x:c r="F26" s="16" t="str">
        <x:v>Compare products</x:v>
      </x:c>
      <x:c r="G26" s="16" t="str">
        <x:v>Breathability and materials with evidence</x:v>
      </x:c>
      <x:c r="H26" s="16" t="str">
        <x:v>Wave 4</x:v>
      </x:c>
      <x:c r="I26" s="16" t="str">
        <x:v>Supplier claims require verification</x:v>
      </x:c>
    </x:row>
    <x:row r="27" ht="34" customHeight="1">
      <x:c r="A27" s="16" t="str">
        <x:v>P2</x:v>
      </x:c>
      <x:c r="B27" s="16" t="str">
        <x:v>Couples Guide</x:v>
      </x:c>
      <x:c r="C27" s="16" t="str">
        <x:v>/blogs/sleep-guides/mattress-for-couples-nz</x:v>
      </x:c>
      <x:c r="D27" s="16" t="str">
        <x:v>Guide</x:v>
      </x:c>
      <x:c r="E27" s="16" t="str">
        <x:v>best mattress for couples NZ</x:v>
      </x:c>
      <x:c r="F27" s="16" t="str">
        <x:v>Compare; discuss split comfort</x:v>
      </x:c>
      <x:c r="G27" s="16" t="str">
        <x:v>Movement, size, split feel and practical trade-offs</x:v>
      </x:c>
      <x:c r="H27" s="16" t="str">
        <x:v>Wave 4</x:v>
      </x:c>
      <x:c r="I27" s="16" t="str">
        <x:v>No outcome guarantees</x:v>
      </x:c>
    </x:row>
  </x:sheetData>
  <x:mergeCells>
    <x:mergeCell ref="A1:I1"/>
    <x:mergeCell ref="A2:I2"/>
  </x:mergeCells>
  <x:conditionalFormatting sqref="A5:A27">
    <x:cfRule type="containsText" dxfId="0" priority="1" operator="containsText" text="P0"/>
  </x:conditionalFormatting>
  <x:pageMargins left="0.7" right="0.7" top="0.75" bottom="0.75" header="0.3" footer="0.3"/>
  <x:tableParts count="1">
    <x:tablePart xmlns:r="http://schemas.openxmlformats.org/officeDocument/2006/relationships" r:id="R15d07e9d15cf496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37" hidden="0" customWidth="1"/>
    <x:col min="4" max="4" width="52" hidden="0" customWidth="1"/>
  </x:cols>
  <x:sheetData>
    <x:row r="1" ht="30" customHeight="1">
      <x:c r="A1" s="3" t="str">
        <x:v>Prestige Navigation Map</x:v>
      </x:c>
      <x:c r="B1" s="3"/>
      <x:c r="C1" s="3"/>
      <x:c r="D1" s="3"/>
    </x:row>
    <x:row r="2" ht="34" customHeight="1">
      <x:c r="A2" s="7" t="str">
        <x:v>Six top-level items, two levels maximum. Size, Feel and Sleeper Type remain shopper-friendly filters.</x:v>
      </x:c>
      <x:c r="B2" s="7"/>
      <x:c r="C2" s="7"/>
      <x:c r="D2" s="7"/>
    </x:row>
    <x:row r="4" ht="30" customHeight="1">
      <x:c r="A4" s="12" t="str">
        <x:v>Top Level</x:v>
      </x:c>
      <x:c r="B4" s="12" t="str">
        <x:v>Second Level</x:v>
      </x:c>
      <x:c r="C4" s="12" t="str">
        <x:v>Destination</x:v>
      </x:c>
      <x:c r="D4" s="12" t="str">
        <x:v>Implementation Note</x:v>
      </x:c>
    </x:row>
    <x:row r="5" ht="34" customHeight="1">
      <x:c r="A5" s="16" t="str">
        <x:v>Mattresses</x:v>
      </x:c>
      <x:c r="B5" s="16" t="str">
        <x:v>All Mattresses</x:v>
      </x:c>
      <x:c r="C5" s="16" t="str">
        <x:v>/collections/mattresses</x:v>
      </x:c>
      <x:c r="D5" s="16" t="str">
        <x:v>Primary commercial collection</x:v>
      </x:c>
    </x:row>
    <x:row r="6" ht="34" customHeight="1">
      <x:c r="A6" s="16" t="str">
        <x:v>Mattresses</x:v>
      </x:c>
      <x:c r="B6" s="16" t="str">
        <x:v>Shop by Feel</x:v>
      </x:c>
      <x:c r="C6" s="16" t="str">
        <x:v>Collection filters/links</x:v>
      </x:c>
      <x:c r="D6" s="16" t="str">
        <x:v>Plush, Medium, Firm</x:v>
      </x:c>
    </x:row>
    <x:row r="7" ht="34" customHeight="1">
      <x:c r="A7" s="16" t="str">
        <x:v>Mattresses</x:v>
      </x:c>
      <x:c r="B7" s="16" t="str">
        <x:v>Shop by Sleeper</x:v>
      </x:c>
      <x:c r="C7" s="16" t="str">
        <x:v>Collection filters/links</x:v>
      </x:c>
      <x:c r="D7" s="16" t="str">
        <x:v>Side, Back, Front; SleepMatch remains the hub</x:v>
      </x:c>
    </x:row>
    <x:row r="8" ht="34" customHeight="1">
      <x:c r="A8" s="16" t="str">
        <x:v>Beds &amp; Bases</x:v>
      </x:c>
      <x:c r="B8" s="16" t="str">
        <x:v>All Beds &amp; Bases</x:v>
      </x:c>
      <x:c r="C8" s="16" t="str">
        <x:v>/collections/beds-and-bases</x:v>
      </x:c>
      <x:c r="D8" s="16" t="str">
        <x:v>Primary commercial collection</x:v>
      </x:c>
    </x:row>
    <x:row r="9" ht="34" customHeight="1">
      <x:c r="A9" s="16" t="str">
        <x:v>Beds &amp; Bases</x:v>
      </x:c>
      <x:c r="B9" s="16" t="str">
        <x:v>Storage Beds</x:v>
      </x:c>
      <x:c r="C9" s="16" t="str">
        <x:v>/collections/storage-beds</x:v>
      </x:c>
      <x:c r="D9" s="16" t="str">
        <x:v>Priority category</x:v>
      </x:c>
    </x:row>
    <x:row r="10" ht="34" customHeight="1">
      <x:c r="A10" s="16" t="str">
        <x:v>Beds &amp; Bases</x:v>
      </x:c>
      <x:c r="B10" s="16" t="str">
        <x:v>Adjustable Beds</x:v>
      </x:c>
      <x:c r="C10" s="16" t="str">
        <x:v>/collections/adjustable-beds</x:v>
      </x:c>
      <x:c r="D10" s="16" t="str">
        <x:v>Priority category</x:v>
      </x:c>
    </x:row>
    <x:row r="11" ht="34" customHeight="1">
      <x:c r="A11" s="16" t="str">
        <x:v>Beds &amp; Bases</x:v>
      </x:c>
      <x:c r="B11" s="16" t="str">
        <x:v>NZ-Made</x:v>
      </x:c>
      <x:c r="C11" s="16" t="str">
        <x:v>/collections/nz-made-beds-and-mattresses</x:v>
      </x:c>
      <x:c r="D11" s="16" t="str">
        <x:v>Use only verified products</x:v>
      </x:c>
    </x:row>
    <x:row r="12" ht="34" customHeight="1">
      <x:c r="A12" s="16" t="str">
        <x:v>Headboards</x:v>
      </x:c>
      <x:c r="B12" s="16" t="str">
        <x:v>All Headboards</x:v>
      </x:c>
      <x:c r="C12" s="16" t="str">
        <x:v>/collections/headboards</x:v>
      </x:c>
      <x:c r="D12" s="16" t="str">
        <x:v>Include style, size and fabric filters</x:v>
      </x:c>
    </x:row>
    <x:row r="13" ht="34" customHeight="1">
      <x:c r="A13" s="16" t="str">
        <x:v>SleepMatch</x:v>
      </x:c>
      <x:c r="B13" s="16" t="str">
        <x:v>Start SleepMatch</x:v>
      </x:c>
      <x:c r="C13" s="16" t="str">
        <x:v>/pages/sleepmatch</x:v>
      </x:c>
      <x:c r="D13" s="16" t="str">
        <x:v>Guided shopping</x:v>
      </x:c>
    </x:row>
    <x:row r="14" ht="34" customHeight="1">
      <x:c r="A14" s="16" t="str">
        <x:v>SleepMatch</x:v>
      </x:c>
      <x:c r="B14" s="16" t="str">
        <x:v>By Feel</x:v>
      </x:c>
      <x:c r="C14" s="16" t="str">
        <x:v>/pages/sleepmatch#feel</x:v>
      </x:c>
      <x:c r="D14" s="16" t="str">
        <x:v>Educational path</x:v>
      </x:c>
    </x:row>
    <x:row r="15" ht="34" customHeight="1">
      <x:c r="A15" s="16" t="str">
        <x:v>SleepMatch</x:v>
      </x:c>
      <x:c r="B15" s="16" t="str">
        <x:v>By Sleeper Type</x:v>
      </x:c>
      <x:c r="C15" s="16" t="str">
        <x:v>/pages/sleepmatch#sleeper</x:v>
      </x:c>
      <x:c r="D15" s="16" t="str">
        <x:v>Educational path</x:v>
      </x:c>
    </x:row>
    <x:row r="16" ht="34" customHeight="1">
      <x:c r="A16" s="16" t="str">
        <x:v>Newmarket Showroom</x:v>
      </x:c>
      <x:c r="B16" s="16" t="str">
        <x:v>Visit The Showroom</x:v>
      </x:c>
      <x:c r="C16" s="16" t="str">
        <x:v>/pages/newmarket-showroom</x:v>
      </x:c>
      <x:c r="D16" s="16" t="str">
        <x:v>Local conversion page</x:v>
      </x:c>
    </x:row>
    <x:row r="17" ht="34" customHeight="1">
      <x:c r="A17" s="16" t="str">
        <x:v>Guides &amp; Support</x:v>
      </x:c>
      <x:c r="B17" s="16" t="str">
        <x:v>Sleep Guides</x:v>
      </x:c>
      <x:c r="C17" s="16" t="str">
        <x:v>/blogs/sleep-guides</x:v>
      </x:c>
      <x:c r="D17" s="16" t="str">
        <x:v>Content hub</x:v>
      </x:c>
    </x:row>
    <x:row r="18" ht="34" customHeight="1">
      <x:c r="A18" s="16" t="str">
        <x:v>Guides &amp; Support</x:v>
      </x:c>
      <x:c r="B18" s="16" t="str">
        <x:v>Delivery &amp; Assembly</x:v>
      </x:c>
      <x:c r="C18" s="16" t="str">
        <x:v>/pages/delivery-and-assembly</x:v>
      </x:c>
      <x:c r="D18" s="16" t="str">
        <x:v>Confirmed wording only</x:v>
      </x:c>
    </x:row>
    <x:row r="19" ht="34" customHeight="1">
      <x:c r="A19" s="16" t="str">
        <x:v>Guides &amp; Support</x:v>
      </x:c>
      <x:c r="B19" s="16" t="str">
        <x:v>Warranty &amp; Returns</x:v>
      </x:c>
      <x:c r="C19" s="16" t="str">
        <x:v>/pages/warranty-and-returns</x:v>
      </x:c>
      <x:c r="D19" s="16" t="str">
        <x:v>Confirmed wording only</x:v>
      </x:c>
    </x:row>
    <x:row r="20" ht="34" customHeight="1">
      <x:c r="A20" s="16" t="str">
        <x:v>Guides &amp; Support</x:v>
      </x:c>
      <x:c r="B20" s="16" t="str">
        <x:v>Finance &amp; Payment</x:v>
      </x:c>
      <x:c r="C20" s="16" t="str">
        <x:v>/pages/finance-and-payment-options</x:v>
      </x:c>
      <x:c r="D20" s="16" t="str">
        <x:v>Confirmed wording only</x:v>
      </x:c>
    </x:row>
    <x:row r="21" ht="34" customHeight="1">
      <x:c r="A21" s="16" t="str">
        <x:v>Guides &amp; Support</x:v>
      </x:c>
      <x:c r="B21" s="16" t="str">
        <x:v>FAQs</x:v>
      </x:c>
      <x:c r="C21" s="16" t="str">
        <x:v>/pages/faqs</x:v>
      </x:c>
      <x:c r="D21" s="16" t="str">
        <x:v>Confirmed answers only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56f50ddce62e461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3" hidden="0" customWidth="1"/>
    <x:col min="3" max="3" width="23" hidden="0" customWidth="1"/>
    <x:col min="4" max="4" width="47" hidden="0" customWidth="1"/>
    <x:col min="5" max="5" width="10" hidden="0" customWidth="1"/>
    <x:col min="6" max="6" width="14" hidden="0" customWidth="1"/>
    <x:col min="7" max="7" width="31" hidden="0" customWidth="1"/>
    <x:col min="8" max="8" width="49" hidden="0" customWidth="1"/>
    <x:col min="9" max="9" width="13" hidden="0" customWidth="1"/>
  </x:cols>
  <x:sheetData>
    <x:row r="1" ht="30" customHeight="1">
      <x:c r="A1" s="3" t="str">
        <x:v>Auckland And Newmarket Keyword Map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7" t="str">
        <x:v>Public spot-check only. Replace every baseline with verified Search Console and rank-tracker data.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12" t="str">
        <x:v>Keyword</x:v>
      </x:c>
      <x:c r="B4" s="12" t="str">
        <x:v>Market</x:v>
      </x:c>
      <x:c r="C4" s="12" t="str">
        <x:v>Intent</x:v>
      </x:c>
      <x:c r="D4" s="12" t="str">
        <x:v>Target Page</x:v>
      </x:c>
      <x:c r="E4" s="12" t="str">
        <x:v>Priority</x:v>
      </x:c>
      <x:c r="F4" s="12" t="str">
        <x:v>Exact Position</x:v>
      </x:c>
      <x:c r="G4" s="12" t="str">
        <x:v>Public Spot-Check</x:v>
      </x:c>
      <x:c r="H4" s="12" t="str">
        <x:v>Recommended Action</x:v>
      </x:c>
      <x:c r="I4" s="12" t="str">
        <x:v>Checked</x:v>
      </x:c>
    </x:row>
    <x:row r="5" ht="34" customHeight="1">
      <x:c r="A5" s="16" t="str">
        <x:v>bed shop Newmarket</x:v>
      </x:c>
      <x:c r="B5" s="16" t="str">
        <x:v>Newmarket</x:v>
      </x:c>
      <x:c r="C5" s="16" t="str">
        <x:v>Local commercial</x:v>
      </x:c>
      <x:c r="D5" s="16" t="str">
        <x:v>/pages/newmarket-showroom</x:v>
      </x:c>
      <x:c r="E5" s="16" t="str">
        <x:v>High</x:v>
      </x:c>
      <x:c r="F5" s="17" t="str">
        <x:v>Not confirmed</x:v>
      </x:c>
      <x:c r="G5" s="16" t="str">
        <x:v>Not visible in public first-page spot-check</x:v>
      </x:c>
      <x:c r="H5" s="16" t="str">
        <x:v>Create a strong showroom page; verify in GSC/rank tracker</x:v>
      </x:c>
      <x:c r="I5" s="16" t="str">
        <x:v>2026-07-29</x:v>
      </x:c>
    </x:row>
    <x:row r="6" ht="34" customHeight="1">
      <x:c r="A6" s="16" t="str">
        <x:v>mattress store Newmarket</x:v>
      </x:c>
      <x:c r="B6" s="16" t="str">
        <x:v>Newmarket</x:v>
      </x:c>
      <x:c r="C6" s="16" t="str">
        <x:v>Local commercial</x:v>
      </x:c>
      <x:c r="D6" s="16" t="str">
        <x:v>/pages/newmarket-showroom</x:v>
      </x:c>
      <x:c r="E6" s="16" t="str">
        <x:v>High</x:v>
      </x:c>
      <x:c r="F6" s="17" t="str">
        <x:v>Not confirmed</x:v>
      </x:c>
      <x:c r="G6" s="16" t="str">
        <x:v>Not visible in public first-page spot-check</x:v>
      </x:c>
      <x:c r="H6" s="16" t="str">
        <x:v>Same local page; avoid a duplicate doorway page</x:v>
      </x:c>
      <x:c r="I6" s="16" t="str">
        <x:v>2026-07-29</x:v>
      </x:c>
    </x:row>
    <x:row r="7" ht="34" customHeight="1">
      <x:c r="A7" s="16" t="str">
        <x:v>beds Newmarket</x:v>
      </x:c>
      <x:c r="B7" s="16" t="str">
        <x:v>Newmarket</x:v>
      </x:c>
      <x:c r="C7" s="16" t="str">
        <x:v>Local commercial</x:v>
      </x:c>
      <x:c r="D7" s="16" t="str">
        <x:v>/pages/newmarket-showroom</x:v>
      </x:c>
      <x:c r="E7" s="16" t="str">
        <x:v>High</x:v>
      </x:c>
      <x:c r="F7" s="17" t="str">
        <x:v>Not confirmed</x:v>
      </x:c>
      <x:c r="G7" s="16" t="str">
        <x:v>Not visible in public first-page spot-check</x:v>
      </x:c>
      <x:c r="H7" s="16" t="str">
        <x:v>Local copy plus category links</x:v>
      </x:c>
      <x:c r="I7" s="16" t="str">
        <x:v>2026-07-29</x:v>
      </x:c>
    </x:row>
    <x:row r="8" ht="34" customHeight="1">
      <x:c r="A8" s="16" t="str">
        <x:v>premium beds Auckland</x:v>
      </x:c>
      <x:c r="B8" s="16" t="str">
        <x:v>Auckland</x:v>
      </x:c>
      <x:c r="C8" s="16" t="str">
        <x:v>Commercial</x:v>
      </x:c>
      <x:c r="D8" s="16" t="str">
        <x:v>/</x:v>
      </x:c>
      <x:c r="E8" s="16" t="str">
        <x:v>High</x:v>
      </x:c>
      <x:c r="F8" s="17" t="str">
        <x:v>Not confirmed</x:v>
      </x:c>
      <x:c r="G8" s="16" t="str">
        <x:v>Not visible in public first-page spot-check</x:v>
      </x:c>
      <x:c r="H8" s="16" t="str">
        <x:v>Homepage positioning plus collection links</x:v>
      </x:c>
      <x:c r="I8" s="16" t="str">
        <x:v>2026-07-29</x:v>
      </x:c>
    </x:row>
    <x:row r="9" ht="34" customHeight="1">
      <x:c r="A9" s="16" t="str">
        <x:v>mattresses Auckland</x:v>
      </x:c>
      <x:c r="B9" s="16" t="str">
        <x:v>Auckland</x:v>
      </x:c>
      <x:c r="C9" s="16" t="str">
        <x:v>Commercial</x:v>
      </x:c>
      <x:c r="D9" s="16" t="str">
        <x:v>/collections/mattresses</x:v>
      </x:c>
      <x:c r="E9" s="16" t="str">
        <x:v>High</x:v>
      </x:c>
      <x:c r="F9" s="17" t="str">
        <x:v>Not confirmed</x:v>
      </x:c>
      <x:c r="G9" s="16" t="str">
        <x:v>Not visible in public first-page spot-check</x:v>
      </x:c>
      <x:c r="H9" s="16" t="str">
        <x:v>Build a complete collection page</x:v>
      </x:c>
      <x:c r="I9" s="16" t="str">
        <x:v>2026-07-29</x:v>
      </x:c>
    </x:row>
    <x:row r="10" ht="34" customHeight="1">
      <x:c r="A10" s="16" t="str">
        <x:v>bed bases Auckland</x:v>
      </x:c>
      <x:c r="B10" s="16" t="str">
        <x:v>Auckland</x:v>
      </x:c>
      <x:c r="C10" s="16" t="str">
        <x:v>Commercial</x:v>
      </x:c>
      <x:c r="D10" s="16" t="str">
        <x:v>/collections/beds-and-bases</x:v>
      </x:c>
      <x:c r="E10" s="16" t="str">
        <x:v>High</x:v>
      </x:c>
      <x:c r="F10" s="17" t="str">
        <x:v>Not confirmed</x:v>
      </x:c>
      <x:c r="G10" s="16" t="str">
        <x:v>Not visible in public first-page spot-check</x:v>
      </x:c>
      <x:c r="H10" s="16" t="str">
        <x:v>Build collection guidance and products</x:v>
      </x:c>
      <x:c r="I10" s="16" t="str">
        <x:v>2026-07-29</x:v>
      </x:c>
    </x:row>
    <x:row r="11" ht="34" customHeight="1">
      <x:c r="A11" s="16" t="str">
        <x:v>headboards Auckland</x:v>
      </x:c>
      <x:c r="B11" s="16" t="str">
        <x:v>Auckland</x:v>
      </x:c>
      <x:c r="C11" s="16" t="str">
        <x:v>Commercial</x:v>
      </x:c>
      <x:c r="D11" s="16" t="str">
        <x:v>/collections/headboards</x:v>
      </x:c>
      <x:c r="E11" s="16" t="str">
        <x:v>High</x:v>
      </x:c>
      <x:c r="F11" s="17" t="str">
        <x:v>Not confirmed</x:v>
      </x:c>
      <x:c r="G11" s="16" t="str">
        <x:v>Not visible in public first-page spot-check</x:v>
      </x:c>
      <x:c r="H11" s="16" t="str">
        <x:v>Use verified custom fabric/size options</x:v>
      </x:c>
      <x:c r="I11" s="16" t="str">
        <x:v>2026-07-29</x:v>
      </x:c>
    </x:row>
    <x:row r="12" ht="34" customHeight="1">
      <x:c r="A12" s="16" t="str">
        <x:v>storage beds Auckland</x:v>
      </x:c>
      <x:c r="B12" s="16" t="str">
        <x:v>Auckland</x:v>
      </x:c>
      <x:c r="C12" s="16" t="str">
        <x:v>Commercial</x:v>
      </x:c>
      <x:c r="D12" s="16" t="str">
        <x:v>/collections/storage-beds</x:v>
      </x:c>
      <x:c r="E12" s="16" t="str">
        <x:v>High</x:v>
      </x:c>
      <x:c r="F12" s="17" t="str">
        <x:v>Not confirmed</x:v>
      </x:c>
      <x:c r="G12" s="16" t="str">
        <x:v>Not visible in public first-page spot-check</x:v>
      </x:c>
      <x:c r="H12" s="16" t="str">
        <x:v>Build storage comparison content</x:v>
      </x:c>
      <x:c r="I12" s="16" t="str">
        <x:v>2026-07-29</x:v>
      </x:c>
    </x:row>
    <x:row r="13" ht="34" customHeight="1">
      <x:c r="A13" s="16" t="str">
        <x:v>adjustable beds Auckland</x:v>
      </x:c>
      <x:c r="B13" s="16" t="str">
        <x:v>Auckland</x:v>
      </x:c>
      <x:c r="C13" s="16" t="str">
        <x:v>Commercial</x:v>
      </x:c>
      <x:c r="D13" s="16" t="str">
        <x:v>/collections/adjustable-beds</x:v>
      </x:c>
      <x:c r="E13" s="16" t="str">
        <x:v>High</x:v>
      </x:c>
      <x:c r="F13" s="17" t="str">
        <x:v>Not confirmed</x:v>
      </x:c>
      <x:c r="G13" s="16" t="str">
        <x:v>Not visible in public first-page spot-check</x:v>
      </x:c>
      <x:c r="H13" s="16" t="str">
        <x:v>Confirm range, claims and warranty first</x:v>
      </x:c>
      <x:c r="I13" s="16" t="str">
        <x:v>2026-07-29</x:v>
      </x:c>
    </x:row>
    <x:row r="14" ht="34" customHeight="1">
      <x:c r="A14" s="16" t="str">
        <x:v>NZ made mattresses Auckland</x:v>
      </x:c>
      <x:c r="B14" s="16" t="str">
        <x:v>Auckland</x:v>
      </x:c>
      <x:c r="C14" s="16" t="str">
        <x:v>Commercial</x:v>
      </x:c>
      <x:c r="D14" s="16" t="str">
        <x:v>/collections/nz-made-beds-and-mattresses</x:v>
      </x:c>
      <x:c r="E14" s="16" t="str">
        <x:v>High</x:v>
      </x:c>
      <x:c r="F14" s="17" t="str">
        <x:v>Not confirmed</x:v>
      </x:c>
      <x:c r="G14" s="16" t="str">
        <x:v>Not visible in public first-page spot-check</x:v>
      </x:c>
      <x:c r="H14" s="16" t="str">
        <x:v>Use only supported origin claims</x:v>
      </x:c>
      <x:c r="I14" s="16" t="str">
        <x:v>2026-07-29</x:v>
      </x:c>
    </x:row>
    <x:row r="15" ht="34" customHeight="1">
      <x:c r="A15" s="16" t="str">
        <x:v>best mattress for side sleepers NZ</x:v>
      </x:c>
      <x:c r="B15" s="16" t="str">
        <x:v>NZ</x:v>
      </x:c>
      <x:c r="C15" s="16" t="str">
        <x:v>Informational/commercial</x:v>
      </x:c>
      <x:c r="D15" s="16" t="str">
        <x:v>/blogs/sleep-guides/best-mattress-for-side-sleepers-nz</x:v>
      </x:c>
      <x:c r="E15" s="16" t="str">
        <x:v>High</x:v>
      </x:c>
      <x:c r="F15" s="17" t="str">
        <x:v>Not confirmed</x:v>
      </x:c>
      <x:c r="G15" s="16" t="str">
        <x:v>Competitor guides visible</x:v>
      </x:c>
      <x:c r="H15" s="16" t="str">
        <x:v>Create evidence-led guide and link to SleepMatch</x:v>
      </x:c>
      <x:c r="I15" s="16" t="str">
        <x:v>2026-07-29</x:v>
      </x:c>
    </x:row>
    <x:row r="16" ht="34" customHeight="1">
      <x:c r="A16" s="16" t="str">
        <x:v>best mattress for back sleepers NZ</x:v>
      </x:c>
      <x:c r="B16" s="16" t="str">
        <x:v>NZ</x:v>
      </x:c>
      <x:c r="C16" s="16" t="str">
        <x:v>Informational/commercial</x:v>
      </x:c>
      <x:c r="D16" s="16" t="str">
        <x:v>/blogs/sleep-guides/best-mattress-for-back-sleepers-nz</x:v>
      </x:c>
      <x:c r="E16" s="16" t="str">
        <x:v>Medium</x:v>
      </x:c>
      <x:c r="F16" s="17" t="str">
        <x:v>Not confirmed</x:v>
      </x:c>
      <x:c r="G16" s="16" t="str">
        <x:v>Baseline pending</x:v>
      </x:c>
      <x:c r="H16" s="16" t="str">
        <x:v>Create after product mapping</x:v>
      </x:c>
      <x:c r="I16" s="16" t="str">
        <x:v>2026-07-29</x:v>
      </x:c>
    </x:row>
    <x:row r="17" ht="34" customHeight="1">
      <x:c r="A17" s="16" t="str">
        <x:v>best mattress for stomach sleepers NZ</x:v>
      </x:c>
      <x:c r="B17" s="16" t="str">
        <x:v>NZ</x:v>
      </x:c>
      <x:c r="C17" s="16" t="str">
        <x:v>Informational/commercial</x:v>
      </x:c>
      <x:c r="D17" s="16" t="str">
        <x:v>/blogs/sleep-guides/best-mattress-for-front-sleepers-nz</x:v>
      </x:c>
      <x:c r="E17" s="16" t="str">
        <x:v>Medium</x:v>
      </x:c>
      <x:c r="F17" s="17" t="str">
        <x:v>Not confirmed</x:v>
      </x:c>
      <x:c r="G17" s="16" t="str">
        <x:v>Baseline pending</x:v>
      </x:c>
      <x:c r="H17" s="16" t="str">
        <x:v>Use front/stomach terminology</x:v>
      </x:c>
      <x:c r="I17" s="16" t="str">
        <x:v>2026-07-29</x:v>
      </x:c>
    </x:row>
    <x:row r="18" ht="34" customHeight="1">
      <x:c r="A18" s="16" t="str">
        <x:v>plush vs medium vs firm mattress</x:v>
      </x:c>
      <x:c r="B18" s="16" t="str">
        <x:v>NZ</x:v>
      </x:c>
      <x:c r="C18" s="16" t="str">
        <x:v>Informational/commercial</x:v>
      </x:c>
      <x:c r="D18" s="16" t="str">
        <x:v>/blogs/sleep-guides/plush-vs-medium-vs-firm-mattress</x:v>
      </x:c>
      <x:c r="E18" s="16" t="str">
        <x:v>High</x:v>
      </x:c>
      <x:c r="F18" s="17" t="str">
        <x:v>Not confirmed</x:v>
      </x:c>
      <x:c r="G18" s="16" t="str">
        <x:v>Baseline pending</x:v>
      </x:c>
      <x:c r="H18" s="16" t="str">
        <x:v>Support Feel filters and SleepMatch</x:v>
      </x:c>
      <x:c r="I18" s="16" t="str">
        <x:v>2026-07-29</x:v>
      </x:c>
    </x:row>
    <x:row r="19" ht="34" customHeight="1">
      <x:c r="A19" s="16" t="str">
        <x:v>mattress for hot sleepers NZ</x:v>
      </x:c>
      <x:c r="B19" s="16" t="str">
        <x:v>NZ</x:v>
      </x:c>
      <x:c r="C19" s="16" t="str">
        <x:v>Informational/commercial</x:v>
      </x:c>
      <x:c r="D19" s="16" t="str">
        <x:v>/blogs/sleep-guides/mattress-for-hot-sleepers-nz</x:v>
      </x:c>
      <x:c r="E19" s="16" t="str">
        <x:v>Medium</x:v>
      </x:c>
      <x:c r="F19" s="17" t="str">
        <x:v>Not confirmed</x:v>
      </x:c>
      <x:c r="G19" s="16" t="str">
        <x:v>Competitor content visible</x:v>
      </x:c>
      <x:c r="H19" s="16" t="str">
        <x:v>Verify material/cooling claims</x:v>
      </x:c>
      <x:c r="I19" s="16" t="str">
        <x:v>2026-07-29</x:v>
      </x:c>
    </x:row>
    <x:row r="20" ht="34" customHeight="1">
      <x:c r="A20" s="16" t="str">
        <x:v>best mattress for couples NZ</x:v>
      </x:c>
      <x:c r="B20" s="16" t="str">
        <x:v>NZ</x:v>
      </x:c>
      <x:c r="C20" s="16" t="str">
        <x:v>Informational/commercial</x:v>
      </x:c>
      <x:c r="D20" s="16" t="str">
        <x:v>/blogs/sleep-guides/mattress-for-couples-nz</x:v>
      </x:c>
      <x:c r="E20" s="16" t="str">
        <x:v>Medium</x:v>
      </x:c>
      <x:c r="F20" s="17" t="str">
        <x:v>Not confirmed</x:v>
      </x:c>
      <x:c r="G20" s="16" t="str">
        <x:v>Baseline pending</x:v>
      </x:c>
      <x:c r="H20" s="16" t="str">
        <x:v>Cover movement, size and split feel</x:v>
      </x:c>
      <x:c r="I20" s="16" t="str">
        <x:v>2026-07-29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25cd9d85b3b4492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2" hidden="0" customWidth="1"/>
    <x:col min="3" max="3" width="19" hidden="0" customWidth="1"/>
    <x:col min="4" max="4" width="26" hidden="0" customWidth="1"/>
    <x:col min="5" max="5" width="18" hidden="0" customWidth="1"/>
    <x:col min="6" max="6" width="11" hidden="0" customWidth="1"/>
    <x:col min="7" max="7" width="11" hidden="0" customWidth="1"/>
    <x:col min="8" max="8" width="21" hidden="0" customWidth="1"/>
    <x:col min="9" max="9" width="24" hidden="0" customWidth="1"/>
    <x:col min="10" max="10" width="16" hidden="0" customWidth="1"/>
    <x:col min="11" max="11" width="43" hidden="0" customWidth="1"/>
    <x:col min="12" max="12" width="13" hidden="0" customWidth="1"/>
    <x:col min="13" max="13" width="13" hidden="0" customWidth="1"/>
    <x:col min="14" max="14" width="15" hidden="0" customWidth="1"/>
    <x:col min="15" max="15" width="11" hidden="0" customWidth="1"/>
    <x:col min="16" max="16" width="18" hidden="0" customWidth="1"/>
    <x:col min="17" max="17" width="24" hidden="0" customWidth="1"/>
    <x:col min="18" max="18" width="48" hidden="0" customWidth="1"/>
  </x:cols>
  <x:sheetData>
    <x:row r="1" ht="30" customHeight="1">
      <x:c r="A1" s="3" t="str">
        <x:v>Latest Product Catalogue Audit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 ht="34" customHeight="1">
      <x:c r="A2" s="7" t="str">
        <x:v>1,074 source rows; 143 unique handles from the 21 July 2026 client workbook. Recommendations require client review before publishing or archiving.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</x:row>
    <x:row r="4" ht="30" customHeight="1">
      <x:c r="A4" s="12" t="str">
        <x:v>Handle</x:v>
      </x:c>
      <x:c r="B4" s="12" t="str">
        <x:v>Title</x:v>
      </x:c>
      <x:c r="C4" s="12" t="str">
        <x:v>Product Type</x:v>
      </x:c>
      <x:c r="D4" s="12" t="str">
        <x:v>Product Category</x:v>
      </x:c>
      <x:c r="E4" s="12" t="str">
        <x:v>Vendor</x:v>
      </x:c>
      <x:c r="F4" s="12" t="str">
        <x:v>Published</x:v>
      </x:c>
      <x:c r="G4" s="12" t="str">
        <x:v>Status</x:v>
      </x:c>
      <x:c r="H4" s="12" t="str">
        <x:v>Feel</x:v>
      </x:c>
      <x:c r="I4" s="12" t="str">
        <x:v>Sleeper Type</x:v>
      </x:c>
      <x:c r="J4" s="12" t="str">
        <x:v>Foam / Spring</x:v>
      </x:c>
      <x:c r="K4" s="12" t="str">
        <x:v>Options</x:v>
      </x:c>
      <x:c r="L4" s="12" t="str">
        <x:v>Price Min</x:v>
      </x:c>
      <x:c r="M4" s="12" t="str">
        <x:v>Price Max</x:v>
      </x:c>
      <x:c r="N4" s="12" t="str">
        <x:v>Compare At Max</x:v>
      </x:c>
      <x:c r="O4" s="12" t="str">
        <x:v>Image Count</x:v>
      </x:c>
      <x:c r="P4" s="12" t="str">
        <x:v>Budget Beds Wording</x:v>
      </x:c>
      <x:c r="Q4" s="12" t="str">
        <x:v>Recommended Fit</x:v>
      </x:c>
      <x:c r="R4" s="12" t="str">
        <x:v>Rationale</x:v>
      </x:c>
    </x:row>
    <x:row r="5" ht="34" customHeight="1">
      <x:c r="A5" s="16" t="str">
        <x:v>Arc headboard-queen-nz-made</x:v>
      </x:c>
      <x:c r="B5" s="16" t="str">
        <x:v>Crescent Headboard - (NZ Made)</x:v>
      </x:c>
      <x:c r="C5" s="16" t="str"/>
      <x:c r="D5" s="16" t="str">
        <x:v>Furniture &gt; Beds &amp; Accessories &gt; Headboards</x:v>
      </x:c>
      <x:c r="E5" s="16" t="str">
        <x:v>Budget Beds</x:v>
      </x:c>
      <x:c r="F5" s="16" t="str">
        <x:v>1</x:v>
      </x:c>
      <x:c r="G5" s="16" t="str">
        <x:v>active</x:v>
      </x:c>
      <x:c r="H5" s="16" t="str"/>
      <x:c r="I5" s="16" t="str"/>
      <x:c r="J5" s="16" t="str"/>
      <x:c r="K5" s="16" t="str">
        <x:v>Size: Single, King Single, Double, Queen, King, Super King, California King | Height: Standard Height 1200mm, Extra Height up to 1600</x:v>
      </x:c>
      <x:c r="L5" s="18" t="n">
        <x:v>399</x:v>
      </x:c>
      <x:c r="M5" s="18" t="n">
        <x:v>870</x:v>
      </x:c>
      <x:c r="N5" s="18" t="n">
        <x:v>1050</x:v>
      </x:c>
      <x:c r="O5" s="16" t="n">
        <x:v>9</x:v>
      </x:c>
      <x:c r="P5" s="16" t="str">
        <x:v>Yes</x:v>
      </x:c>
      <x:c r="Q5" s="16" t="str">
        <x:v>Core</x:v>
      </x:c>
      <x:c r="R5" s="16" t="str">
        <x:v>Matches a priority Bed Studio category.</x:v>
      </x:c>
    </x:row>
    <x:row r="6" ht="34" customHeight="1">
      <x:c r="A6" s="16" t="str">
        <x:v>Chelsea-headboard</x:v>
      </x:c>
      <x:c r="B6" s="16" t="str">
        <x:v>Kensington Headboard  King Single (NZ Made)</x:v>
      </x:c>
      <x:c r="C6" s="16" t="str">
        <x:v>HeadBoards</x:v>
      </x:c>
      <x:c r="D6" s="16" t="str">
        <x:v>Furniture &gt; Beds &amp; Accessories &gt; Headboards</x:v>
      </x:c>
      <x:c r="E6" s="16" t="str">
        <x:v>Budget Beds</x:v>
      </x:c>
      <x:c r="F6" s="16" t="str">
        <x:v>1</x:v>
      </x:c>
      <x:c r="G6" s="16" t="str">
        <x:v>active</x:v>
      </x:c>
      <x:c r="H6" s="16" t="str"/>
      <x:c r="I6" s="16" t="str"/>
      <x:c r="J6" s="16" t="str"/>
      <x:c r="K6" s="16" t="str">
        <x:v>Title: Default Title</x:v>
      </x:c>
      <x:c r="L6" s="18" t="n">
        <x:v>399</x:v>
      </x:c>
      <x:c r="M6" s="18" t="n">
        <x:v>399</x:v>
      </x:c>
      <x:c r="N6" s="18" t="n">
        <x:v>849</x:v>
      </x:c>
      <x:c r="O6" s="16" t="n">
        <x:v>4</x:v>
      </x:c>
      <x:c r="P6" s="16" t="str">
        <x:v>Yes</x:v>
      </x:c>
      <x:c r="Q6" s="16" t="str">
        <x:v>Core</x:v>
      </x:c>
      <x:c r="R6" s="16" t="str">
        <x:v>Matches a priority Bed Studio category.</x:v>
      </x:c>
    </x:row>
    <x:row r="7" ht="34" customHeight="1">
      <x:c r="A7" s="16" t="str">
        <x:v>Chelsea-headboard-california-king-nz-made</x:v>
      </x:c>
      <x:c r="B7" s="16" t="str">
        <x:v>Kensington Headboard California King (NZ Made)</x:v>
      </x:c>
      <x:c r="C7" s="16" t="str">
        <x:v>HeadBoards</x:v>
      </x:c>
      <x:c r="D7" s="16" t="str">
        <x:v>Furniture &gt; Beds &amp; Accessories &gt; Headboards</x:v>
      </x:c>
      <x:c r="E7" s="16" t="str">
        <x:v>Budget Beds</x:v>
      </x:c>
      <x:c r="F7" s="16" t="str">
        <x:v>1</x:v>
      </x:c>
      <x:c r="G7" s="16" t="str">
        <x:v>active</x:v>
      </x:c>
      <x:c r="H7" s="16" t="str"/>
      <x:c r="I7" s="16" t="str"/>
      <x:c r="J7" s="16" t="str"/>
      <x:c r="K7" s="16" t="str">
        <x:v>Title: Default Title</x:v>
      </x:c>
      <x:c r="L7" s="18" t="n">
        <x:v>399</x:v>
      </x:c>
      <x:c r="M7" s="18" t="n">
        <x:v>799</x:v>
      </x:c>
      <x:c r="N7" s="18" t="n">
        <x:v>1599</x:v>
      </x:c>
      <x:c r="O7" s="16" t="n">
        <x:v>24</x:v>
      </x:c>
      <x:c r="P7" s="16" t="str">
        <x:v>Yes</x:v>
      </x:c>
      <x:c r="Q7" s="16" t="str">
        <x:v>Core</x:v>
      </x:c>
      <x:c r="R7" s="16" t="str">
        <x:v>Matches a priority Bed Studio category.</x:v>
      </x:c>
    </x:row>
    <x:row r="8" ht="34" customHeight="1">
      <x:c r="A8" s="16" t="str">
        <x:v>Cosmic-headboard</x:v>
      </x:c>
      <x:c r="B8" s="16" t="str">
        <x:v>Classic Headboard Single (NZ Made)</x:v>
      </x:c>
      <x:c r="C8" s="16" t="str">
        <x:v>HeadBoards</x:v>
      </x:c>
      <x:c r="D8" s="16" t="str">
        <x:v>Furniture &gt; Beds &amp; Accessories &gt; Headboards</x:v>
      </x:c>
      <x:c r="E8" s="16" t="str">
        <x:v>Budget Beds</x:v>
      </x:c>
      <x:c r="F8" s="16" t="str">
        <x:v>1</x:v>
      </x:c>
      <x:c r="G8" s="16" t="str">
        <x:v>active</x:v>
      </x:c>
      <x:c r="H8" s="16" t="str"/>
      <x:c r="I8" s="16" t="str"/>
      <x:c r="J8" s="16" t="str"/>
      <x:c r="K8" s="16" t="str">
        <x:v>Choose Height: Standard Height (1220 mm / 122 cm), Extra Height (Upto 1600 mm / 166 cm)</x:v>
      </x:c>
      <x:c r="L8" s="18" t="n">
        <x:v>299</x:v>
      </x:c>
      <x:c r="M8" s="18" t="n">
        <x:v>419</x:v>
      </x:c>
      <x:c r="N8" s="18" t="n">
        <x:v>599</x:v>
      </x:c>
      <x:c r="O8" s="16" t="n">
        <x:v>5</x:v>
      </x:c>
      <x:c r="P8" s="16" t="str">
        <x:v>Yes</x:v>
      </x:c>
      <x:c r="Q8" s="16" t="str">
        <x:v>Core</x:v>
      </x:c>
      <x:c r="R8" s="16" t="str">
        <x:v>Matches a priority Bed Studio category.</x:v>
      </x:c>
    </x:row>
    <x:row r="9" ht="34" customHeight="1">
      <x:c r="A9" s="16" t="str">
        <x:v>Cosmic-headboard-california-king-nz-made</x:v>
      </x:c>
      <x:c r="B9" s="16" t="str">
        <x:v>Classic Headboard Super King (NZ Made)</x:v>
      </x:c>
      <x:c r="C9" s="16" t="str">
        <x:v>HeadBoards</x:v>
      </x:c>
      <x:c r="D9" s="16" t="str">
        <x:v>Furniture &gt; Beds &amp; Accessories &gt; Headboards</x:v>
      </x:c>
      <x:c r="E9" s="16" t="str">
        <x:v>Budget Beds</x:v>
      </x:c>
      <x:c r="F9" s="16" t="str">
        <x:v>1</x:v>
      </x:c>
      <x:c r="G9" s="16" t="str">
        <x:v>active</x:v>
      </x:c>
      <x:c r="H9" s="16" t="str"/>
      <x:c r="I9" s="16" t="str"/>
      <x:c r="J9" s="16" t="str"/>
      <x:c r="K9" s="16" t="str">
        <x:v>Choose Height, Height: Extra Height (Upto 1600 mm / 166 cm), Standard Height (1220 mm / 122 cm), Standard Height 1200mm, Extra Height up to 1600mm, Standard Height (1200 mm / 120 cm)</x:v>
      </x:c>
      <x:c r="L9" s="18" t="n">
        <x:v>329</x:v>
      </x:c>
      <x:c r="M9" s="18" t="n">
        <x:v>899</x:v>
      </x:c>
      <x:c r="N9" s="18" t="n">
        <x:v>1199</x:v>
      </x:c>
      <x:c r="O9" s="16" t="n">
        <x:v>31</x:v>
      </x:c>
      <x:c r="P9" s="16" t="str">
        <x:v>Yes</x:v>
      </x:c>
      <x:c r="Q9" s="16" t="str">
        <x:v>Core</x:v>
      </x:c>
      <x:c r="R9" s="16" t="str">
        <x:v>Matches a priority Bed Studio category.</x:v>
      </x:c>
    </x:row>
    <x:row r="10" ht="34" customHeight="1">
      <x:c r="A10" s="16" t="str">
        <x:v>Deep-drawer-bed-base-queen-nz-made</x:v>
      </x:c>
      <x:c r="B10" s="16" t="str">
        <x:v>Extra Deep Drawer Bed Base Size - Queen (NZ Made)</x:v>
      </x:c>
      <x:c r="C10" s="16" t="str">
        <x:v>Bed Bases</x:v>
      </x:c>
      <x:c r="D10" s="16" t="str">
        <x:v>Furniture &gt; Beds &amp; Accessories &gt; Beds &amp; Bed Frames</x:v>
      </x:c>
      <x:c r="E10" s="16" t="str">
        <x:v>Budget Beds</x:v>
      </x:c>
      <x:c r="F10" s="16" t="str">
        <x:v>1</x:v>
      </x:c>
      <x:c r="G10" s="16" t="str">
        <x:v>active</x:v>
      </x:c>
      <x:c r="H10" s="16" t="str"/>
      <x:c r="I10" s="16" t="str"/>
      <x:c r="J10" s="16" t="str"/>
      <x:c r="K10" s="16" t="str">
        <x:v>Title: Default Title</x:v>
      </x:c>
      <x:c r="L10" s="18" t="n">
        <x:v>799</x:v>
      </x:c>
      <x:c r="M10" s="18" t="n">
        <x:v>1049</x:v>
      </x:c>
      <x:c r="N10" s="18" t="n">
        <x:v>1599</x:v>
      </x:c>
      <x:c r="O10" s="16" t="n">
        <x:v>20</x:v>
      </x:c>
      <x:c r="P10" s="16" t="str">
        <x:v>Yes</x:v>
      </x:c>
      <x:c r="Q10" s="16" t="str">
        <x:v>Core</x:v>
      </x:c>
      <x:c r="R10" s="16" t="str">
        <x:v>Matches a priority Bed Studio category.</x:v>
      </x:c>
    </x:row>
    <x:row r="11" ht="34" customHeight="1">
      <x:c r="A11" s="16" t="str">
        <x:v>Divino-headboard-super-king-nz-made</x:v>
      </x:c>
      <x:c r="B11" s="16" t="str">
        <x:v>Bellisma HeadBoard Super King (NZ Made)</x:v>
      </x:c>
      <x:c r="C11" s="16" t="str">
        <x:v>HeadBoards</x:v>
      </x:c>
      <x:c r="D11" s="16" t="str">
        <x:v>Furniture &gt; Beds &amp; Accessories &gt; Headboards &amp; Footboards</x:v>
      </x:c>
      <x:c r="E11" s="16" t="str">
        <x:v>Budget Beds</x:v>
      </x:c>
      <x:c r="F11" s="16" t="str">
        <x:v>1</x:v>
      </x:c>
      <x:c r="G11" s="16" t="str">
        <x:v>active</x:v>
      </x:c>
      <x:c r="H11" s="16" t="str"/>
      <x:c r="I11" s="16" t="str"/>
      <x:c r="J11" s="16" t="str"/>
      <x:c r="K11" s="16" t="str">
        <x:v>Height: Standard Height 1200mm, Extra Height up to 1600mm</x:v>
      </x:c>
      <x:c r="L11" s="18" t="n">
        <x:v>699</x:v>
      </x:c>
      <x:c r="M11" s="18" t="n">
        <x:v>949</x:v>
      </x:c>
      <x:c r="N11" s="18" t="n">
        <x:v>1499</x:v>
      </x:c>
      <x:c r="O11" s="16" t="n">
        <x:v>13</x:v>
      </x:c>
      <x:c r="P11" s="16" t="str">
        <x:v>Yes</x:v>
      </x:c>
      <x:c r="Q11" s="16" t="str">
        <x:v>Core</x:v>
      </x:c>
      <x:c r="R11" s="16" t="str">
        <x:v>Matches a priority Bed Studio category.</x:v>
      </x:c>
    </x:row>
    <x:row r="12" ht="34" customHeight="1">
      <x:c r="A12" s="16" t="str">
        <x:v>Dori-headboard-california-king-nz-made</x:v>
      </x:c>
      <x:c r="B12" s="16" t="str">
        <x:v>Monza Headboard California King (NZ Made)</x:v>
      </x:c>
      <x:c r="C12" s="16" t="str">
        <x:v>HeadBoards</x:v>
      </x:c>
      <x:c r="D12" s="16" t="str">
        <x:v>Furniture &gt; Beds &amp; Accessories &gt; Headboards</x:v>
      </x:c>
      <x:c r="E12" s="16" t="str">
        <x:v>Budget Beds</x:v>
      </x:c>
      <x:c r="F12" s="16" t="str">
        <x:v>1</x:v>
      </x:c>
      <x:c r="G12" s="16" t="str">
        <x:v>active</x:v>
      </x:c>
      <x:c r="H12" s="16" t="str"/>
      <x:c r="I12" s="16" t="str"/>
      <x:c r="J12" s="16" t="str"/>
      <x:c r="K12" s="16" t="str">
        <x:v>Title: Default Title</x:v>
      </x:c>
      <x:c r="L12" s="18" t="n">
        <x:v>249</x:v>
      </x:c>
      <x:c r="M12" s="18" t="n">
        <x:v>449</x:v>
      </x:c>
      <x:c r="N12" s="18" t="n">
        <x:v>899</x:v>
      </x:c>
      <x:c r="O12" s="16" t="n">
        <x:v>24</x:v>
      </x:c>
      <x:c r="P12" s="16" t="str">
        <x:v>Yes</x:v>
      </x:c>
      <x:c r="Q12" s="16" t="str">
        <x:v>Core</x:v>
      </x:c>
      <x:c r="R12" s="16" t="str">
        <x:v>Matches a priority Bed Studio category.</x:v>
      </x:c>
    </x:row>
    <x:row r="13" ht="34" customHeight="1">
      <x:c r="A13" s="16" t="str">
        <x:v>Venus Wings-headboard-california-king-nz-made</x:v>
      </x:c>
      <x:c r="B13" s="16" t="str">
        <x:v>Windsor Headboard Super King (NZ Made)</x:v>
      </x:c>
      <x:c r="C13" s="16" t="str">
        <x:v>HeadBoards</x:v>
      </x:c>
      <x:c r="D13" s="16" t="str">
        <x:v>Furniture &gt; Beds &amp; Accessories &gt; Headboards</x:v>
      </x:c>
      <x:c r="E13" s="16" t="str">
        <x:v>Budget Beds</x:v>
      </x:c>
      <x:c r="F13" s="16" t="str">
        <x:v>1</x:v>
      </x:c>
      <x:c r="G13" s="16" t="str">
        <x:v>active</x:v>
      </x:c>
      <x:c r="H13" s="16" t="str"/>
      <x:c r="I13" s="16" t="str"/>
      <x:c r="J13" s="16" t="str"/>
      <x:c r="K13" s="16" t="str">
        <x:v>Height: single, king single, Double, queen, King, Superking, California King, Standard Height (1220 mm / 122 cm), Extra Height (Upto 1600 mm / 166 cm) | Extra height up to 1600mm, Standard Height 1200mm</x:v>
      </x:c>
      <x:c r="L13" s="18" t="n">
        <x:v>650</x:v>
      </x:c>
      <x:c r="M13" s="18" t="n">
        <x:v>1469</x:v>
      </x:c>
      <x:c r="N13" s="18" t="n">
        <x:v>2299</x:v>
      </x:c>
      <x:c r="O13" s="16" t="n">
        <x:v>11</x:v>
      </x:c>
      <x:c r="P13" s="16" t="str">
        <x:v>Yes</x:v>
      </x:c>
      <x:c r="Q13" s="16" t="str">
        <x:v>Core</x:v>
      </x:c>
      <x:c r="R13" s="16" t="str">
        <x:v>Matches a priority Bed Studio category.</x:v>
      </x:c>
    </x:row>
    <x:row r="14" ht="34" customHeight="1">
      <x:c r="A14" s="16" t="str">
        <x:v>Venus-headboard</x:v>
      </x:c>
      <x:c r="B14" s="16" t="str">
        <x:v>Winchester Headboard Queen (NZ Made)</x:v>
      </x:c>
      <x:c r="C14" s="16" t="str">
        <x:v>HeadBoards</x:v>
      </x:c>
      <x:c r="D14" s="16" t="str">
        <x:v>Furniture &gt; Beds &amp; Accessories &gt; Headboards</x:v>
      </x:c>
      <x:c r="E14" s="16" t="str">
        <x:v>Budget Beds</x:v>
      </x:c>
      <x:c r="F14" s="16" t="str">
        <x:v>1</x:v>
      </x:c>
      <x:c r="G14" s="16" t="str">
        <x:v>active</x:v>
      </x:c>
      <x:c r="H14" s="16" t="str"/>
      <x:c r="I14" s="16" t="str"/>
      <x:c r="J14" s="16" t="str"/>
      <x:c r="K14" s="16" t="str">
        <x:v>Height: Standard Height (1220 mm / 122 cm), Extra Height (Upto 1600 mm / 166 cm)</x:v>
      </x:c>
      <x:c r="L14" s="18" t="n">
        <x:v>999</x:v>
      </x:c>
      <x:c r="M14" s="18" t="n">
        <x:v>1199</x:v>
      </x:c>
      <x:c r="N14" s="18" t="n">
        <x:v>2099</x:v>
      </x:c>
      <x:c r="O14" s="16" t="n">
        <x:v>3</x:v>
      </x:c>
      <x:c r="P14" s="16" t="str">
        <x:v>Yes</x:v>
      </x:c>
      <x:c r="Q14" s="16" t="str">
        <x:v>Core</x:v>
      </x:c>
      <x:c r="R14" s="16" t="str">
        <x:v>Matches a priority Bed Studio category.</x:v>
      </x:c>
    </x:row>
    <x:row r="15" ht="34" customHeight="1">
      <x:c r="A15" s="16" t="str">
        <x:v>Venus-headboard-california-king-nz-made</x:v>
      </x:c>
      <x:c r="B15" s="16" t="str">
        <x:v>Winchester Headboard California King (NZ Made)</x:v>
      </x:c>
      <x:c r="C15" s="16" t="str">
        <x:v>HeadBoards</x:v>
      </x:c>
      <x:c r="D15" s="16" t="str">
        <x:v>Furniture &gt; Beds &amp; Accessories &gt; Headboards</x:v>
      </x:c>
      <x:c r="E15" s="16" t="str">
        <x:v>Budget Beds</x:v>
      </x:c>
      <x:c r="F15" s="16" t="str">
        <x:v>1</x:v>
      </x:c>
      <x:c r="G15" s="16" t="str">
        <x:v>active</x:v>
      </x:c>
      <x:c r="H15" s="16" t="str"/>
      <x:c r="I15" s="16" t="str"/>
      <x:c r="J15" s="16" t="str"/>
      <x:c r="K15" s="16" t="str">
        <x:v>Height: Standard Height (1220 mm / 122 cm), Extra Height (Upto 1600 mm / 166 cm)</x:v>
      </x:c>
      <x:c r="L15" s="18" t="n">
        <x:v>1099</x:v>
      </x:c>
      <x:c r="M15" s="18" t="n">
        <x:v>1549</x:v>
      </x:c>
      <x:c r="N15" s="18" t="n">
        <x:v>2699</x:v>
      </x:c>
      <x:c r="O15" s="16" t="n">
        <x:v>11</x:v>
      </x:c>
      <x:c r="P15" s="16" t="str">
        <x:v>Yes</x:v>
      </x:c>
      <x:c r="Q15" s="16" t="str">
        <x:v>Core</x:v>
      </x:c>
      <x:c r="R15" s="16" t="str">
        <x:v>Matches a priority Bed Studio category.</x:v>
      </x:c>
    </x:row>
    <x:row r="16" ht="34" customHeight="1">
      <x:c r="A16" s="16" t="str">
        <x:v>Venus-headboard-single-nz-made</x:v>
      </x:c>
      <x:c r="B16" s="16" t="str">
        <x:v>Winchester Headboard King Single (NZ Made)</x:v>
      </x:c>
      <x:c r="C16" s="16" t="str">
        <x:v>HeadBoards</x:v>
      </x:c>
      <x:c r="D16" s="16" t="str">
        <x:v>Furniture &gt; Beds &amp; Accessories &gt; Headboards</x:v>
      </x:c>
      <x:c r="E16" s="16" t="str">
        <x:v>Budget Beds</x:v>
      </x:c>
      <x:c r="F16" s="16" t="str">
        <x:v>1</x:v>
      </x:c>
      <x:c r="G16" s="16" t="str">
        <x:v>active</x:v>
      </x:c>
      <x:c r="H16" s="16" t="str"/>
      <x:c r="I16" s="16" t="str"/>
      <x:c r="J16" s="16" t="str"/>
      <x:c r="K16" s="16" t="str">
        <x:v>Title: Default Title</x:v>
      </x:c>
      <x:c r="L16" s="18" t="n">
        <x:v>799</x:v>
      </x:c>
      <x:c r="M16" s="18" t="n">
        <x:v>799</x:v>
      </x:c>
      <x:c r="N16" s="18" t="n">
        <x:v>1899</x:v>
      </x:c>
      <x:c r="O16" s="16" t="n">
        <x:v>4</x:v>
      </x:c>
      <x:c r="P16" s="16" t="str">
        <x:v>Yes</x:v>
      </x:c>
      <x:c r="Q16" s="16" t="str">
        <x:v>Core</x:v>
      </x:c>
      <x:c r="R16" s="16" t="str">
        <x:v>Matches a priority Bed Studio category.</x:v>
      </x:c>
    </x:row>
    <x:row r="17" ht="34" customHeight="1">
      <x:c r="A17" s="16" t="str">
        <x:v>Vintage headboard-double-nz-made</x:v>
      </x:c>
      <x:c r="B17" s="16" t="str">
        <x:v>Decor To Adore Headboard Double (NZ MADE)</x:v>
      </x:c>
      <x:c r="C17" s="16" t="str">
        <x:v>HeadBoards</x:v>
      </x:c>
      <x:c r="D17" s="16" t="str">
        <x:v>Furniture &gt; Beds &amp; Accessories &gt; Headboards</x:v>
      </x:c>
      <x:c r="E17" s="16" t="str">
        <x:v>Budget Beds</x:v>
      </x:c>
      <x:c r="F17" s="16" t="str">
        <x:v>1</x:v>
      </x:c>
      <x:c r="G17" s="16" t="str">
        <x:v>active</x:v>
      </x:c>
      <x:c r="H17" s="16" t="str"/>
      <x:c r="I17" s="16" t="str"/>
      <x:c r="J17" s="16" t="str"/>
      <x:c r="K17" s="16" t="str">
        <x:v>Choose Height: Standard Height (1220 mm / 122 cm), Extra Height (Upto 1600 mm / 166 cm)</x:v>
      </x:c>
      <x:c r="L17" s="18" t="n">
        <x:v>799</x:v>
      </x:c>
      <x:c r="M17" s="18" t="n">
        <x:v>1099</x:v>
      </x:c>
      <x:c r="N17" s="18" t="n">
        <x:v>2299</x:v>
      </x:c>
      <x:c r="O17" s="16" t="n">
        <x:v>7</x:v>
      </x:c>
      <x:c r="P17" s="16" t="str">
        <x:v>Yes</x:v>
      </x:c>
      <x:c r="Q17" s="16" t="str">
        <x:v>Core</x:v>
      </x:c>
      <x:c r="R17" s="16" t="str">
        <x:v>Matches a priority Bed Studio category.</x:v>
      </x:c>
    </x:row>
    <x:row r="18" ht="34" customHeight="1">
      <x:c r="A18" s="16" t="str">
        <x:v>Vintage-headboard</x:v>
      </x:c>
      <x:c r="B18" s="16" t="str">
        <x:v>Decor To Adore Headboard Queen (NZ MADE)</x:v>
      </x:c>
      <x:c r="C18" s="16" t="str">
        <x:v>HeadBoards</x:v>
      </x:c>
      <x:c r="D18" s="16" t="str">
        <x:v>Furniture &gt; Beds &amp; Accessories &gt; Headboards</x:v>
      </x:c>
      <x:c r="E18" s="16" t="str">
        <x:v>Budget Beds</x:v>
      </x:c>
      <x:c r="F18" s="16" t="str">
        <x:v>1</x:v>
      </x:c>
      <x:c r="G18" s="16" t="str">
        <x:v>active</x:v>
      </x:c>
      <x:c r="H18" s="16" t="str"/>
      <x:c r="I18" s="16" t="str"/>
      <x:c r="J18" s="16" t="str"/>
      <x:c r="K18" s="16" t="str">
        <x:v>Choose Height: Standard Height (1220 mm / 122 cm), Extra Height (Upto 1600 mm / 166 cm)</x:v>
      </x:c>
      <x:c r="L18" s="18" t="n">
        <x:v>849</x:v>
      </x:c>
      <x:c r="M18" s="18" t="n">
        <x:v>1179</x:v>
      </x:c>
      <x:c r="N18" s="18" t="n">
        <x:v>2399</x:v>
      </x:c>
      <x:c r="O18" s="16" t="n">
        <x:v>7</x:v>
      </x:c>
      <x:c r="P18" s="16" t="str">
        <x:v>Yes</x:v>
      </x:c>
      <x:c r="Q18" s="16" t="str">
        <x:v>Core</x:v>
      </x:c>
      <x:c r="R18" s="16" t="str">
        <x:v>Matches a priority Bed Studio category.</x:v>
      </x:c>
    </x:row>
    <x:row r="19" ht="34" customHeight="1">
      <x:c r="A19" s="16" t="str">
        <x:v>Vintage-headboard-king-nz-made</x:v>
      </x:c>
      <x:c r="B19" s="16" t="str">
        <x:v>Decor To Adore Headboard King (NZ MADE)</x:v>
      </x:c>
      <x:c r="C19" s="16" t="str">
        <x:v>HeadBoards</x:v>
      </x:c>
      <x:c r="D19" s="16" t="str">
        <x:v>Furniture &gt; Beds &amp; Accessories &gt; Headboards</x:v>
      </x:c>
      <x:c r="E19" s="16" t="str">
        <x:v>Budget Beds</x:v>
      </x:c>
      <x:c r="F19" s="16" t="str">
        <x:v>1</x:v>
      </x:c>
      <x:c r="G19" s="16" t="str">
        <x:v>active</x:v>
      </x:c>
      <x:c r="H19" s="16" t="str"/>
      <x:c r="I19" s="16" t="str"/>
      <x:c r="J19" s="16" t="str"/>
      <x:c r="K19" s="16" t="str">
        <x:v>Choose Height: Height: Standard Height (1220 mm / 122 cm), Height: Extra Height (Upto 1600 mm / 166 cm), Standard Height (1220 mm / 122 cm), Extra Height (Upto 1600 mm / 166 cm)</x:v>
      </x:c>
      <x:c r="L19" s="18" t="n">
        <x:v>899</x:v>
      </x:c>
      <x:c r="M19" s="18" t="n">
        <x:v>1299</x:v>
      </x:c>
      <x:c r="N19" s="18" t="n">
        <x:v>2699</x:v>
      </x:c>
      <x:c r="O19" s="16" t="n">
        <x:v>12</x:v>
      </x:c>
      <x:c r="P19" s="16" t="str">
        <x:v>Yes</x:v>
      </x:c>
      <x:c r="Q19" s="16" t="str">
        <x:v>Core</x:v>
      </x:c>
      <x:c r="R19" s="16" t="str">
        <x:v>Matches a priority Bed Studio category.</x:v>
      </x:c>
    </x:row>
    <x:row r="20" ht="34" customHeight="1">
      <x:c r="A20" s="16" t="str">
        <x:v>apsley-headboard</x:v>
      </x:c>
      <x:c r="B20" s="16" t="str">
        <x:v>Apsley Headboard - Single (NZ MADE)</x:v>
      </x:c>
      <x:c r="C20" s="16" t="str">
        <x:v>HeadBoards</x:v>
      </x:c>
      <x:c r="D20" s="16" t="str">
        <x:v>Furniture &gt; Beds &amp; Accessories &gt; Headboards</x:v>
      </x:c>
      <x:c r="E20" s="16" t="str">
        <x:v>Budget Beds</x:v>
      </x:c>
      <x:c r="F20" s="16" t="str">
        <x:v>1</x:v>
      </x:c>
      <x:c r="G20" s="16" t="str">
        <x:v>active</x:v>
      </x:c>
      <x:c r="H20" s="16" t="str"/>
      <x:c r="I20" s="16" t="str"/>
      <x:c r="J20" s="16" t="str"/>
      <x:c r="K20" s="16" t="str">
        <x:v>Height: Standard Height 1200mm, Extra Height up to 1600mm</x:v>
      </x:c>
      <x:c r="L20" s="18" t="n">
        <x:v>349</x:v>
      </x:c>
      <x:c r="M20" s="18" t="n">
        <x:v>549</x:v>
      </x:c>
      <x:c r="N20" s="18" t="n">
        <x:v>699</x:v>
      </x:c>
      <x:c r="O20" s="16" t="n">
        <x:v>3</x:v>
      </x:c>
      <x:c r="P20" s="16" t="str">
        <x:v>Yes</x:v>
      </x:c>
      <x:c r="Q20" s="16" t="str">
        <x:v>Core</x:v>
      </x:c>
      <x:c r="R20" s="16" t="str">
        <x:v>Matches a priority Bed Studio category.</x:v>
      </x:c>
    </x:row>
    <x:row r="21" ht="34" customHeight="1">
      <x:c r="A21" s="16" t="str">
        <x:v>apsley-headboard-california-king-nz-made</x:v>
      </x:c>
      <x:c r="B21" s="16" t="str">
        <x:v>Apsley Headboard - California King (NZ MADE)</x:v>
      </x:c>
      <x:c r="C21" s="16" t="str">
        <x:v>HeadBoards</x:v>
      </x:c>
      <x:c r="D21" s="16" t="str">
        <x:v>Furniture &gt; Beds &amp; Accessories &gt; Headboards</x:v>
      </x:c>
      <x:c r="E21" s="16" t="str">
        <x:v>Budget Beds</x:v>
      </x:c>
      <x:c r="F21" s="16" t="str">
        <x:v>1</x:v>
      </x:c>
      <x:c r="G21" s="16" t="str">
        <x:v>active</x:v>
      </x:c>
      <x:c r="H21" s="16" t="str"/>
      <x:c r="I21" s="16" t="str"/>
      <x:c r="J21" s="16" t="str"/>
      <x:c r="K21" s="16" t="str">
        <x:v>Style: Standard Height 1220 m.m(122 c.m), Extra Height up to 1600 m.m(166 c.m)</x:v>
      </x:c>
      <x:c r="L21" s="18" t="n">
        <x:v>799</x:v>
      </x:c>
      <x:c r="M21" s="18" t="n">
        <x:v>929</x:v>
      </x:c>
      <x:c r="N21" s="18"/>
      <x:c r="O21" s="16" t="n">
        <x:v>4</x:v>
      </x:c>
      <x:c r="P21" s="16" t="str">
        <x:v>Yes</x:v>
      </x:c>
      <x:c r="Q21" s="16" t="str">
        <x:v>Core</x:v>
      </x:c>
      <x:c r="R21" s="16" t="str">
        <x:v>Matches a priority Bed Studio category.</x:v>
      </x:c>
    </x:row>
    <x:row r="22" ht="34" customHeight="1">
      <x:c r="A22" s="16" t="str">
        <x:v>apsley-headboard-double-nz-made</x:v>
      </x:c>
      <x:c r="B22" s="16" t="str">
        <x:v>Apsley Headboard - Double (NZ MADE)</x:v>
      </x:c>
      <x:c r="C22" s="16" t="str">
        <x:v>HeadBoards</x:v>
      </x:c>
      <x:c r="D22" s="16" t="str">
        <x:v>Furniture &gt; Beds &amp; Accessories &gt; Headboards</x:v>
      </x:c>
      <x:c r="E22" s="16" t="str">
        <x:v>Budget Beds</x:v>
      </x:c>
      <x:c r="F22" s="16" t="str">
        <x:v>1</x:v>
      </x:c>
      <x:c r="G22" s="16" t="str">
        <x:v>active</x:v>
      </x:c>
      <x:c r="H22" s="16" t="str"/>
      <x:c r="I22" s="16" t="str"/>
      <x:c r="J22" s="16" t="str"/>
      <x:c r="K22" s="16" t="str">
        <x:v>Height: Standard Height up to 1200mm, extra Height 1600mm</x:v>
      </x:c>
      <x:c r="L22" s="18" t="n">
        <x:v>499</x:v>
      </x:c>
      <x:c r="M22" s="18" t="n">
        <x:v>629</x:v>
      </x:c>
      <x:c r="N22" s="18" t="n">
        <x:v>999</x:v>
      </x:c>
      <x:c r="O22" s="16" t="n">
        <x:v>4</x:v>
      </x:c>
      <x:c r="P22" s="16" t="str">
        <x:v>Yes</x:v>
      </x:c>
      <x:c r="Q22" s="16" t="str">
        <x:v>Core</x:v>
      </x:c>
      <x:c r="R22" s="16" t="str">
        <x:v>Matches a priority Bed Studio category.</x:v>
      </x:c>
    </x:row>
    <x:row r="23" ht="34" customHeight="1">
      <x:c r="A23" s="16" t="str">
        <x:v>apsley-headboard-king-nz-made</x:v>
      </x:c>
      <x:c r="B23" s="16" t="str">
        <x:v>Apsley Headboard - King (NZ MADE)</x:v>
      </x:c>
      <x:c r="C23" s="16" t="str">
        <x:v>HeadBoards</x:v>
      </x:c>
      <x:c r="D23" s="16" t="str">
        <x:v>Furniture &gt; Beds &amp; Accessories &gt; Headboards</x:v>
      </x:c>
      <x:c r="E23" s="16" t="str">
        <x:v>Budget Beds</x:v>
      </x:c>
      <x:c r="F23" s="16" t="str">
        <x:v>1</x:v>
      </x:c>
      <x:c r="G23" s="16" t="str">
        <x:v>active</x:v>
      </x:c>
      <x:c r="H23" s="16" t="str"/>
      <x:c r="I23" s="16" t="str"/>
      <x:c r="J23" s="16" t="str"/>
      <x:c r="K23" s="16" t="str">
        <x:v>Height: Standard Height 1200mm, Extra Height up 1600mm</x:v>
      </x:c>
      <x:c r="L23" s="18" t="n">
        <x:v>699</x:v>
      </x:c>
      <x:c r="M23" s="18" t="n">
        <x:v>899</x:v>
      </x:c>
      <x:c r="N23" s="18" t="n">
        <x:v>1399</x:v>
      </x:c>
      <x:c r="O23" s="16" t="n">
        <x:v>4</x:v>
      </x:c>
      <x:c r="P23" s="16" t="str">
        <x:v>Yes</x:v>
      </x:c>
      <x:c r="Q23" s="16" t="str">
        <x:v>Core</x:v>
      </x:c>
      <x:c r="R23" s="16" t="str">
        <x:v>Matches a priority Bed Studio category.</x:v>
      </x:c>
    </x:row>
    <x:row r="24" ht="34" customHeight="1">
      <x:c r="A24" s="16" t="str">
        <x:v>apsley-headboard-king-single-nz-made</x:v>
      </x:c>
      <x:c r="B24" s="16" t="str">
        <x:v>Apsley Headboard - King Single (NZ MADE)</x:v>
      </x:c>
      <x:c r="C24" s="16" t="str">
        <x:v>HeadBoards</x:v>
      </x:c>
      <x:c r="D24" s="16" t="str">
        <x:v>Furniture &gt; Beds &amp; Accessories &gt; Headboards</x:v>
      </x:c>
      <x:c r="E24" s="16" t="str">
        <x:v>Budget Beds</x:v>
      </x:c>
      <x:c r="F24" s="16" t="str">
        <x:v>1</x:v>
      </x:c>
      <x:c r="G24" s="16" t="str">
        <x:v>active</x:v>
      </x:c>
      <x:c r="H24" s="16" t="str"/>
      <x:c r="I24" s="16" t="str"/>
      <x:c r="J24" s="16" t="str"/>
      <x:c r="K24" s="16" t="str">
        <x:v>Height: Standard Height 1200mm, Extra Height up to 1600mm</x:v>
      </x:c>
      <x:c r="L24" s="18" t="n">
        <x:v>399</x:v>
      </x:c>
      <x:c r="M24" s="18" t="n">
        <x:v>599</x:v>
      </x:c>
      <x:c r="N24" s="18" t="n">
        <x:v>799</x:v>
      </x:c>
      <x:c r="O24" s="16" t="n">
        <x:v>4</x:v>
      </x:c>
      <x:c r="P24" s="16" t="str">
        <x:v>Yes</x:v>
      </x:c>
      <x:c r="Q24" s="16" t="str">
        <x:v>Core</x:v>
      </x:c>
      <x:c r="R24" s="16" t="str">
        <x:v>Matches a priority Bed Studio category.</x:v>
      </x:c>
    </x:row>
    <x:row r="25" ht="34" customHeight="1">
      <x:c r="A25" s="16" t="str">
        <x:v>apsley-headboard-queen-nz-made</x:v>
      </x:c>
      <x:c r="B25" s="16" t="str">
        <x:v>Apsley Headboard - Queen (NZ MADE)</x:v>
      </x:c>
      <x:c r="C25" s="16" t="str">
        <x:v>HeadBoards</x:v>
      </x:c>
      <x:c r="D25" s="16" t="str">
        <x:v>Furniture &gt; Beds &amp; Accessories &gt; Headboards</x:v>
      </x:c>
      <x:c r="E25" s="16" t="str">
        <x:v>Budget Beds</x:v>
      </x:c>
      <x:c r="F25" s="16" t="str">
        <x:v>1</x:v>
      </x:c>
      <x:c r="G25" s="16" t="str">
        <x:v>active</x:v>
      </x:c>
      <x:c r="H25" s="16" t="str"/>
      <x:c r="I25" s="16" t="str"/>
      <x:c r="J25" s="16" t="str"/>
      <x:c r="K25" s="16" t="str">
        <x:v>Height: Standard Height 1200mm, Extra Height up to 1600mm</x:v>
      </x:c>
      <x:c r="L25" s="18" t="n">
        <x:v>599</x:v>
      </x:c>
      <x:c r="M25" s="18" t="n">
        <x:v>799</x:v>
      </x:c>
      <x:c r="N25" s="18" t="n">
        <x:v>1199</x:v>
      </x:c>
      <x:c r="O25" s="16" t="n">
        <x:v>3</x:v>
      </x:c>
      <x:c r="P25" s="16" t="str">
        <x:v>Yes</x:v>
      </x:c>
      <x:c r="Q25" s="16" t="str">
        <x:v>Core</x:v>
      </x:c>
      <x:c r="R25" s="16" t="str">
        <x:v>Matches a priority Bed Studio category.</x:v>
      </x:c>
    </x:row>
    <x:row r="26" ht="34" customHeight="1">
      <x:c r="A26" s="16" t="str">
        <x:v>apsley-headboard-super-king-nz-made</x:v>
      </x:c>
      <x:c r="B26" s="16" t="str">
        <x:v>Apsley Headboard - Super King (NZ MADE)</x:v>
      </x:c>
      <x:c r="C26" s="16" t="str">
        <x:v>HeadBoards</x:v>
      </x:c>
      <x:c r="D26" s="16" t="str">
        <x:v>Furniture &gt; Beds &amp; Accessories &gt; Headboards</x:v>
      </x:c>
      <x:c r="E26" s="16" t="str">
        <x:v>Budget Beds</x:v>
      </x:c>
      <x:c r="F26" s="16" t="str">
        <x:v>1</x:v>
      </x:c>
      <x:c r="G26" s="16" t="str">
        <x:v>active</x:v>
      </x:c>
      <x:c r="H26" s="16" t="str"/>
      <x:c r="I26" s="16" t="str"/>
      <x:c r="J26" s="16" t="str"/>
      <x:c r="K26" s="16" t="str">
        <x:v>Extra Height: Standards Height 1200mm, Extra Height up to 1600mm</x:v>
      </x:c>
      <x:c r="L26" s="18" t="n">
        <x:v>749</x:v>
      </x:c>
      <x:c r="M26" s="18" t="n">
        <x:v>949</x:v>
      </x:c>
      <x:c r="N26" s="18" t="n">
        <x:v>1499</x:v>
      </x:c>
      <x:c r="O26" s="16" t="n">
        <x:v>4</x:v>
      </x:c>
      <x:c r="P26" s="16" t="str">
        <x:v>Yes</x:v>
      </x:c>
      <x:c r="Q26" s="16" t="str">
        <x:v>Core</x:v>
      </x:c>
      <x:c r="R26" s="16" t="str">
        <x:v>Matches a priority Bed Studio category.</x:v>
      </x:c>
    </x:row>
    <x:row r="27" ht="34" customHeight="1">
      <x:c r="A27" s="16" t="str">
        <x:v>bed-base-cal-king-size-split-twin</x:v>
      </x:c>
      <x:c r="B27" s="16" t="str">
        <x:v>Bed Base Cal King Size (NZ MADE)</x:v>
      </x:c>
      <x:c r="C27" s="16" t="str">
        <x:v>Bed Bases</x:v>
      </x:c>
      <x:c r="D27" s="16" t="str">
        <x:v>Furniture &gt; Beds &amp; Accessories &gt; Beds &amp; Bed Frames</x:v>
      </x:c>
      <x:c r="E27" s="16" t="str">
        <x:v>Budget Beds</x:v>
      </x:c>
      <x:c r="F27" s="16" t="str">
        <x:v>1</x:v>
      </x:c>
      <x:c r="G27" s="16" t="str">
        <x:v>active</x:v>
      </x:c>
      <x:c r="H27" s="16" t="str"/>
      <x:c r="I27" s="16" t="str"/>
      <x:c r="J27" s="16" t="str"/>
      <x:c r="K27" s="16" t="str">
        <x:v>Title: Default Title</x:v>
      </x:c>
      <x:c r="L27" s="18" t="n">
        <x:v>649</x:v>
      </x:c>
      <x:c r="M27" s="18" t="n">
        <x:v>649</x:v>
      </x:c>
      <x:c r="N27" s="18" t="n">
        <x:v>1299</x:v>
      </x:c>
      <x:c r="O27" s="16" t="n">
        <x:v>5</x:v>
      </x:c>
      <x:c r="P27" s="16" t="str">
        <x:v>Yes</x:v>
      </x:c>
      <x:c r="Q27" s="16" t="str">
        <x:v>Core</x:v>
      </x:c>
      <x:c r="R27" s="16" t="str">
        <x:v>Matches a priority Bed Studio category.</x:v>
      </x:c>
    </x:row>
    <x:row r="28" ht="34" customHeight="1">
      <x:c r="A28" s="16" t="str">
        <x:v>bed-base-double-size</x:v>
      </x:c>
      <x:c r="B28" s="16" t="str">
        <x:v>Bed Base Double Size (NZ MADE)</x:v>
      </x:c>
      <x:c r="C28" s="16" t="str">
        <x:v>Bed Bases</x:v>
      </x:c>
      <x:c r="D28" s="16" t="str">
        <x:v>Furniture &gt; Beds &amp; Accessories &gt; Beds &amp; Bed Frames</x:v>
      </x:c>
      <x:c r="E28" s="16" t="str">
        <x:v>Budget Beds</x:v>
      </x:c>
      <x:c r="F28" s="16" t="str">
        <x:v>1</x:v>
      </x:c>
      <x:c r="G28" s="16" t="str">
        <x:v>active</x:v>
      </x:c>
      <x:c r="H28" s="16" t="str"/>
      <x:c r="I28" s="16" t="str"/>
      <x:c r="J28" s="16" t="str"/>
      <x:c r="K28" s="16" t="str">
        <x:v>Title: Default Title</x:v>
      </x:c>
      <x:c r="L28" s="18" t="n">
        <x:v>389</x:v>
      </x:c>
      <x:c r="M28" s="18" t="n">
        <x:v>389</x:v>
      </x:c>
      <x:c r="N28" s="18" t="n">
        <x:v>699</x:v>
      </x:c>
      <x:c r="O28" s="16" t="n">
        <x:v>4</x:v>
      </x:c>
      <x:c r="P28" s="16" t="str">
        <x:v>Yes</x:v>
      </x:c>
      <x:c r="Q28" s="16" t="str">
        <x:v>Core</x:v>
      </x:c>
      <x:c r="R28" s="16" t="str">
        <x:v>Matches a priority Bed Studio category.</x:v>
      </x:c>
    </x:row>
    <x:row r="29" ht="34" customHeight="1">
      <x:c r="A29" s="16" t="str">
        <x:v>bed-base-king-single-size</x:v>
      </x:c>
      <x:c r="B29" s="16" t="str">
        <x:v>Bed Base King Single Size (NZ MADE)</x:v>
      </x:c>
      <x:c r="C29" s="16" t="str">
        <x:v>Bed Bases</x:v>
      </x:c>
      <x:c r="D29" s="16" t="str">
        <x:v>Furniture &gt; Beds &amp; Accessories &gt; Beds &amp; Bed Frames</x:v>
      </x:c>
      <x:c r="E29" s="16" t="str">
        <x:v>Budget Beds</x:v>
      </x:c>
      <x:c r="F29" s="16" t="str">
        <x:v>1</x:v>
      </x:c>
      <x:c r="G29" s="16" t="str">
        <x:v>active</x:v>
      </x:c>
      <x:c r="H29" s="16" t="str"/>
      <x:c r="I29" s="16" t="str"/>
      <x:c r="J29" s="16" t="str"/>
      <x:c r="K29" s="16" t="str">
        <x:v>Title: Default Title</x:v>
      </x:c>
      <x:c r="L29" s="18" t="n">
        <x:v>299</x:v>
      </x:c>
      <x:c r="M29" s="18" t="n">
        <x:v>299</x:v>
      </x:c>
      <x:c r="N29" s="18" t="n">
        <x:v>599</x:v>
      </x:c>
      <x:c r="O29" s="16" t="n">
        <x:v>3</x:v>
      </x:c>
      <x:c r="P29" s="16" t="str">
        <x:v>Yes</x:v>
      </x:c>
      <x:c r="Q29" s="16" t="str">
        <x:v>Core</x:v>
      </x:c>
      <x:c r="R29" s="16" t="str">
        <x:v>Matches a priority Bed Studio category.</x:v>
      </x:c>
    </x:row>
    <x:row r="30" ht="34" customHeight="1">
      <x:c r="A30" s="16" t="str">
        <x:v>bed-base-king-size-split-twin</x:v>
      </x:c>
      <x:c r="B30" s="16" t="str">
        <x:v>Bed Base King Size (NZ MADE)</x:v>
      </x:c>
      <x:c r="C30" s="16" t="str">
        <x:v>Bed Bases</x:v>
      </x:c>
      <x:c r="D30" s="16" t="str">
        <x:v>Furniture &gt; Beds &amp; Accessories &gt; Beds &amp; Bed Frames</x:v>
      </x:c>
      <x:c r="E30" s="16" t="str">
        <x:v>Budget Beds</x:v>
      </x:c>
      <x:c r="F30" s="16" t="str">
        <x:v>1</x:v>
      </x:c>
      <x:c r="G30" s="16" t="str">
        <x:v>active</x:v>
      </x:c>
      <x:c r="H30" s="16" t="str"/>
      <x:c r="I30" s="16" t="str"/>
      <x:c r="J30" s="16" t="str"/>
      <x:c r="K30" s="16" t="str">
        <x:v>Title: Default Title</x:v>
      </x:c>
      <x:c r="L30" s="18" t="n">
        <x:v>499</x:v>
      </x:c>
      <x:c r="M30" s="18" t="n">
        <x:v>499</x:v>
      </x:c>
      <x:c r="N30" s="18" t="n">
        <x:v>899</x:v>
      </x:c>
      <x:c r="O30" s="16" t="n">
        <x:v>7</x:v>
      </x:c>
      <x:c r="P30" s="16" t="str">
        <x:v>Yes</x:v>
      </x:c>
      <x:c r="Q30" s="16" t="str">
        <x:v>Core</x:v>
      </x:c>
      <x:c r="R30" s="16" t="str">
        <x:v>Matches a priority Bed Studio category.</x:v>
      </x:c>
    </x:row>
    <x:row r="31" ht="34" customHeight="1">
      <x:c r="A31" s="16" t="str">
        <x:v>bed-base-long-single-size</x:v>
      </x:c>
      <x:c r="B31" s="16" t="str">
        <x:v>Bed Base Long Single Size (NZ MADE)</x:v>
      </x:c>
      <x:c r="C31" s="16" t="str">
        <x:v>Bed Bases</x:v>
      </x:c>
      <x:c r="D31" s="16" t="str">
        <x:v>Furniture &gt; Beds &amp; Accessories &gt; Beds &amp; Bed Frames</x:v>
      </x:c>
      <x:c r="E31" s="16" t="str">
        <x:v>Budget Beds</x:v>
      </x:c>
      <x:c r="F31" s="16" t="str">
        <x:v>1</x:v>
      </x:c>
      <x:c r="G31" s="16" t="str">
        <x:v>active</x:v>
      </x:c>
      <x:c r="H31" s="16" t="str"/>
      <x:c r="I31" s="16" t="str"/>
      <x:c r="J31" s="16" t="str"/>
      <x:c r="K31" s="16" t="str">
        <x:v>Title: Default Title</x:v>
      </x:c>
      <x:c r="L31" s="18" t="n">
        <x:v>325</x:v>
      </x:c>
      <x:c r="M31" s="18" t="n">
        <x:v>325</x:v>
      </x:c>
      <x:c r="N31" s="18" t="n">
        <x:v>599</x:v>
      </x:c>
      <x:c r="O31" s="16" t="n">
        <x:v>2</x:v>
      </x:c>
      <x:c r="P31" s="16" t="str">
        <x:v>Yes</x:v>
      </x:c>
      <x:c r="Q31" s="16" t="str">
        <x:v>Core</x:v>
      </x:c>
      <x:c r="R31" s="16" t="str">
        <x:v>Matches a priority Bed Studio category.</x:v>
      </x:c>
    </x:row>
    <x:row r="32" ht="34" customHeight="1">
      <x:c r="A32" s="16" t="str">
        <x:v>bed-base-queen-size</x:v>
      </x:c>
      <x:c r="B32" s="16" t="str">
        <x:v>Bed Base Queen Size (NZ MADE)</x:v>
      </x:c>
      <x:c r="C32" s="16" t="str">
        <x:v>Bed Bases</x:v>
      </x:c>
      <x:c r="D32" s="16" t="str">
        <x:v>Furniture &gt; Beds &amp; Accessories &gt; Beds &amp; Bed Frames</x:v>
      </x:c>
      <x:c r="E32" s="16" t="str">
        <x:v>Budget Beds</x:v>
      </x:c>
      <x:c r="F32" s="16" t="str">
        <x:v>1</x:v>
      </x:c>
      <x:c r="G32" s="16" t="str">
        <x:v>active</x:v>
      </x:c>
      <x:c r="H32" s="16" t="str"/>
      <x:c r="I32" s="16" t="str"/>
      <x:c r="J32" s="16" t="str"/>
      <x:c r="K32" s="16" t="str">
        <x:v>Title: Default Title</x:v>
      </x:c>
      <x:c r="L32" s="18" t="n">
        <x:v>399</x:v>
      </x:c>
      <x:c r="M32" s="18" t="n">
        <x:v>399</x:v>
      </x:c>
      <x:c r="N32" s="18" t="n">
        <x:v>799</x:v>
      </x:c>
      <x:c r="O32" s="16" t="n">
        <x:v>4</x:v>
      </x:c>
      <x:c r="P32" s="16" t="str">
        <x:v>Yes</x:v>
      </x:c>
      <x:c r="Q32" s="16" t="str">
        <x:v>Core</x:v>
      </x:c>
      <x:c r="R32" s="16" t="str">
        <x:v>Matches a priority Bed Studio category.</x:v>
      </x:c>
    </x:row>
    <x:row r="33" ht="34" customHeight="1">
      <x:c r="A33" s="16" t="str">
        <x:v>bed-base-queen-split</x:v>
      </x:c>
      <x:c r="B33" s="16" t="str">
        <x:v>Bed Base Queen Split (NZ Made)</x:v>
      </x:c>
      <x:c r="C33" s="16" t="str">
        <x:v>Bed Bases</x:v>
      </x:c>
      <x:c r="D33" s="16" t="str">
        <x:v>Furniture &gt; Beds &amp; Accessories &gt; Beds &amp; Bed Frames</x:v>
      </x:c>
      <x:c r="E33" s="16" t="str">
        <x:v>Budget Beds</x:v>
      </x:c>
      <x:c r="F33" s="16" t="str">
        <x:v>1</x:v>
      </x:c>
      <x:c r="G33" s="16" t="str">
        <x:v>active</x:v>
      </x:c>
      <x:c r="H33" s="16" t="str"/>
      <x:c r="I33" s="16" t="str"/>
      <x:c r="J33" s="16" t="str"/>
      <x:c r="K33" s="16" t="str">
        <x:v>Title: Default Title</x:v>
      </x:c>
      <x:c r="L33" s="18" t="n">
        <x:v>499</x:v>
      </x:c>
      <x:c r="M33" s="18" t="n">
        <x:v>499</x:v>
      </x:c>
      <x:c r="N33" s="18" t="n">
        <x:v>999</x:v>
      </x:c>
      <x:c r="O33" s="16" t="n">
        <x:v>4</x:v>
      </x:c>
      <x:c r="P33" s="16" t="str">
        <x:v>Yes</x:v>
      </x:c>
      <x:c r="Q33" s="16" t="str">
        <x:v>Core</x:v>
      </x:c>
      <x:c r="R33" s="16" t="str">
        <x:v>Matches a priority Bed Studio category.</x:v>
      </x:c>
    </x:row>
    <x:row r="34" ht="34" customHeight="1">
      <x:c r="A34" s="16" t="str">
        <x:v>bed-base-single-size</x:v>
      </x:c>
      <x:c r="B34" s="16" t="str">
        <x:v>Bed Base Single Size (NZ MADE)</x:v>
      </x:c>
      <x:c r="C34" s="16" t="str">
        <x:v>Bed Bases</x:v>
      </x:c>
      <x:c r="D34" s="16" t="str">
        <x:v>Furniture &gt; Beds &amp; Accessories &gt; Beds &amp; Bed Frames</x:v>
      </x:c>
      <x:c r="E34" s="16" t="str">
        <x:v>Budget Beds</x:v>
      </x:c>
      <x:c r="F34" s="16" t="str">
        <x:v>1</x:v>
      </x:c>
      <x:c r="G34" s="16" t="str">
        <x:v>active</x:v>
      </x:c>
      <x:c r="H34" s="16" t="str"/>
      <x:c r="I34" s="16" t="str"/>
      <x:c r="J34" s="16" t="str"/>
      <x:c r="K34" s="16" t="str">
        <x:v>Title: Default Title</x:v>
      </x:c>
      <x:c r="L34" s="18" t="n">
        <x:v>279</x:v>
      </x:c>
      <x:c r="M34" s="18" t="n">
        <x:v>279</x:v>
      </x:c>
      <x:c r="N34" s="18" t="n">
        <x:v>499</x:v>
      </x:c>
      <x:c r="O34" s="16" t="n">
        <x:v>4</x:v>
      </x:c>
      <x:c r="P34" s="16" t="str">
        <x:v>Yes</x:v>
      </x:c>
      <x:c r="Q34" s="16" t="str">
        <x:v>Core</x:v>
      </x:c>
      <x:c r="R34" s="16" t="str">
        <x:v>Matches a priority Bed Studio category.</x:v>
      </x:c>
    </x:row>
    <x:row r="35" ht="34" customHeight="1">
      <x:c r="A35" s="16" t="str">
        <x:v>bed-base-super-king-size-split-twin</x:v>
      </x:c>
      <x:c r="B35" s="16" t="str">
        <x:v>Bed Base Super King Size (NZ MADE)</x:v>
      </x:c>
      <x:c r="C35" s="16" t="str">
        <x:v>Bed Bases</x:v>
      </x:c>
      <x:c r="D35" s="16" t="str">
        <x:v>Furniture &gt; Beds &amp; Accessories &gt; Beds &amp; Bed Frames</x:v>
      </x:c>
      <x:c r="E35" s="16" t="str">
        <x:v>Budget Beds</x:v>
      </x:c>
      <x:c r="F35" s="16" t="str">
        <x:v>1</x:v>
      </x:c>
      <x:c r="G35" s="16" t="str">
        <x:v>active</x:v>
      </x:c>
      <x:c r="H35" s="16" t="str"/>
      <x:c r="I35" s="16" t="str"/>
      <x:c r="J35" s="16" t="str"/>
      <x:c r="K35" s="16" t="str">
        <x:v>Title: Default Title</x:v>
      </x:c>
      <x:c r="L35" s="18" t="n">
        <x:v>549</x:v>
      </x:c>
      <x:c r="M35" s="18" t="n">
        <x:v>549</x:v>
      </x:c>
      <x:c r="N35" s="18" t="n">
        <x:v>999</x:v>
      </x:c>
      <x:c r="O35" s="16" t="n">
        <x:v>5</x:v>
      </x:c>
      <x:c r="P35" s="16" t="str">
        <x:v>Yes</x:v>
      </x:c>
      <x:c r="Q35" s="16" t="str">
        <x:v>Core</x:v>
      </x:c>
      <x:c r="R35" s="16" t="str">
        <x:v>Matches a priority Bed Studio category.</x:v>
      </x:c>
    </x:row>
    <x:row r="36" ht="34" customHeight="1">
      <x:c r="A36" s="16" t="str">
        <x:v>bellisma-headboard</x:v>
      </x:c>
      <x:c r="B36" s="16" t="str"/>
      <x:c r="C36" s="16" t="str"/>
      <x:c r="D36" s="16" t="str"/>
      <x:c r="E36" s="16" t="str"/>
      <x:c r="F36" s="16" t="str"/>
      <x:c r="G36" s="16" t="str"/>
      <x:c r="H36" s="16" t="str"/>
      <x:c r="I36" s="16" t="str"/>
      <x:c r="J36" s="16" t="str"/>
      <x:c r="K36" s="16" t="str"/>
      <x:c r="L36" s="18"/>
      <x:c r="M36" s="18"/>
      <x:c r="N36" s="18"/>
      <x:c r="O36" s="16" t="n">
        <x:v>1</x:v>
      </x:c>
      <x:c r="P36" s="16" t="str">
        <x:v>Yes</x:v>
      </x:c>
      <x:c r="Q36" s="16" t="str">
        <x:v>Core</x:v>
      </x:c>
      <x:c r="R36" s="16" t="str">
        <x:v>Matches a priority Bed Studio category.</x:v>
      </x:c>
    </x:row>
    <x:row r="37" ht="34" customHeight="1">
      <x:c r="A37" s="16" t="str">
        <x:v>care-plus-bed-king-x-firm</x:v>
      </x:c>
      <x:c r="B37" s="16" t="str">
        <x:v>Care Plus X-Firm Mattress &amp; Base - King</x:v>
      </x:c>
      <x:c r="C37" s="16" t="str">
        <x:v>Mattresses</x:v>
      </x:c>
      <x:c r="D37" s="16" t="str">
        <x:v>Furniture &gt; Beds &amp; Accessories &gt; Beds &amp; Bed Frames</x:v>
      </x:c>
      <x:c r="E37" s="16" t="str">
        <x:v>Budget Beds</x:v>
      </x:c>
      <x:c r="F37" s="16" t="str">
        <x:v>1</x:v>
      </x:c>
      <x:c r="G37" s="16" t="str">
        <x:v>active</x:v>
      </x:c>
      <x:c r="H37" s="16" t="str">
        <x:v>Firm</x:v>
      </x:c>
      <x:c r="I37" s="16" t="str">
        <x:v>Back Sleeper</x:v>
      </x:c>
      <x:c r="J37" s="16" t="str"/>
      <x:c r="K37" s="16" t="str">
        <x:v>Title: Default Title</x:v>
      </x:c>
      <x:c r="L37" s="18" t="n">
        <x:v>1599</x:v>
      </x:c>
      <x:c r="M37" s="18" t="n">
        <x:v>1599</x:v>
      </x:c>
      <x:c r="N37" s="18" t="n">
        <x:v>2249</x:v>
      </x:c>
      <x:c r="O37" s="16" t="n">
        <x:v>8</x:v>
      </x:c>
      <x:c r="P37" s="16" t="str">
        <x:v>Yes</x:v>
      </x:c>
      <x:c r="Q37" s="16" t="str">
        <x:v>Core</x:v>
      </x:c>
      <x:c r="R37" s="16" t="str">
        <x:v>Matches a priority Bed Studio category.</x:v>
      </x:c>
    </x:row>
    <x:row r="38" ht="34" customHeight="1">
      <x:c r="A38" s="16" t="str">
        <x:v>care-plus-king-mattress</x:v>
      </x:c>
      <x:c r="B38" s="16" t="str">
        <x:v>Care Plus X-Firm Mattress - King</x:v>
      </x:c>
      <x:c r="C38" s="16" t="str">
        <x:v>Mattresses</x:v>
      </x:c>
      <x:c r="D38" s="16" t="str">
        <x:v>Furniture &gt; Beds &amp; Accessories &gt; Mattresses &gt; Innerspring Mattresses</x:v>
      </x:c>
      <x:c r="E38" s="16" t="str">
        <x:v>Budget Beds</x:v>
      </x:c>
      <x:c r="F38" s="16" t="str">
        <x:v>1</x:v>
      </x:c>
      <x:c r="G38" s="16" t="str">
        <x:v>active</x:v>
      </x:c>
      <x:c r="H38" s="16" t="str">
        <x:v>Firm</x:v>
      </x:c>
      <x:c r="I38" s="16" t="str">
        <x:v>Back Sleeper</x:v>
      </x:c>
      <x:c r="J38" s="16" t="str"/>
      <x:c r="K38" s="16" t="str">
        <x:v>Title: Default Title</x:v>
      </x:c>
      <x:c r="L38" s="18" t="n">
        <x:v>1199</x:v>
      </x:c>
      <x:c r="M38" s="18" t="n">
        <x:v>1199</x:v>
      </x:c>
      <x:c r="N38" s="18" t="n">
        <x:v>1649</x:v>
      </x:c>
      <x:c r="O38" s="16" t="n">
        <x:v>6</x:v>
      </x:c>
      <x:c r="P38" s="16" t="str">
        <x:v>Yes</x:v>
      </x:c>
      <x:c r="Q38" s="16" t="str">
        <x:v>Core</x:v>
      </x:c>
      <x:c r="R38" s="16" t="str">
        <x:v>Matches a priority Bed Studio category.</x:v>
      </x:c>
    </x:row>
    <x:row r="39" ht="34" customHeight="1">
      <x:c r="A39" s="16" t="str">
        <x:v>care-plus-king-single-bed</x:v>
      </x:c>
      <x:c r="B39" s="16" t="str">
        <x:v>Care Plus X- Firm Mattress &amp; Base - King Single</x:v>
      </x:c>
      <x:c r="C39" s="16" t="str">
        <x:v>Beds</x:v>
      </x:c>
      <x:c r="D39" s="16" t="str">
        <x:v>Furniture &gt; Beds &amp; Accessories &gt; Mattresses &gt; Innerspring Mattresses</x:v>
      </x:c>
      <x:c r="E39" s="16" t="str">
        <x:v>Budget Beds</x:v>
      </x:c>
      <x:c r="F39" s="16" t="str">
        <x:v>1</x:v>
      </x:c>
      <x:c r="G39" s="16" t="str">
        <x:v>active</x:v>
      </x:c>
      <x:c r="H39" s="16" t="str">
        <x:v>Firm</x:v>
      </x:c>
      <x:c r="I39" s="16" t="str">
        <x:v>Back Sleeper</x:v>
      </x:c>
      <x:c r="J39" s="16" t="str"/>
      <x:c r="K39" s="16" t="str">
        <x:v>Title: Default Title</x:v>
      </x:c>
      <x:c r="L39" s="18" t="n">
        <x:v>1099</x:v>
      </x:c>
      <x:c r="M39" s="18" t="n">
        <x:v>1099</x:v>
      </x:c>
      <x:c r="N39" s="18" t="n">
        <x:v>1599</x:v>
      </x:c>
      <x:c r="O39" s="16" t="n">
        <x:v>7</x:v>
      </x:c>
      <x:c r="P39" s="16" t="str">
        <x:v>Yes</x:v>
      </x:c>
      <x:c r="Q39" s="16" t="str">
        <x:v>Core</x:v>
      </x:c>
      <x:c r="R39" s="16" t="str">
        <x:v>Matches a priority Bed Studio category.</x:v>
      </x:c>
    </x:row>
    <x:row r="40" ht="34" customHeight="1">
      <x:c r="A40" s="16" t="str">
        <x:v>care-plus-king-single-mattress</x:v>
      </x:c>
      <x:c r="B40" s="16" t="str">
        <x:v>Care Plus X-Firm Mattress - King Single</x:v>
      </x:c>
      <x:c r="C40" s="16" t="str">
        <x:v>Mattresses</x:v>
      </x:c>
      <x:c r="D40" s="16" t="str">
        <x:v>Furniture &gt; Beds &amp; Accessories &gt; Mattresses &gt; Innerspring Mattresses</x:v>
      </x:c>
      <x:c r="E40" s="16" t="str">
        <x:v>Budget Beds</x:v>
      </x:c>
      <x:c r="F40" s="16" t="str">
        <x:v>1</x:v>
      </x:c>
      <x:c r="G40" s="16" t="str">
        <x:v>active</x:v>
      </x:c>
      <x:c r="H40" s="16" t="str">
        <x:v>Firm</x:v>
      </x:c>
      <x:c r="I40" s="16" t="str">
        <x:v>Back Sleeper</x:v>
      </x:c>
      <x:c r="J40" s="16" t="str"/>
      <x:c r="K40" s="16" t="str">
        <x:v>Title: Default Title</x:v>
      </x:c>
      <x:c r="L40" s="18" t="n">
        <x:v>899</x:v>
      </x:c>
      <x:c r="M40" s="18" t="n">
        <x:v>899</x:v>
      </x:c>
      <x:c r="N40" s="18" t="n">
        <x:v>1099</x:v>
      </x:c>
      <x:c r="O40" s="16" t="n">
        <x:v>6</x:v>
      </x:c>
      <x:c r="P40" s="16" t="str">
        <x:v>Yes</x:v>
      </x:c>
      <x:c r="Q40" s="16" t="str">
        <x:v>Core</x:v>
      </x:c>
      <x:c r="R40" s="16" t="str">
        <x:v>Matches a priority Bed Studio category.</x:v>
      </x:c>
    </x:row>
    <x:row r="41" ht="34" customHeight="1">
      <x:c r="A41" s="16" t="str">
        <x:v>care-plus-single-mattress</x:v>
      </x:c>
      <x:c r="B41" s="16" t="str">
        <x:v>Care Plus X-Firm Mattress - Single</x:v>
      </x:c>
      <x:c r="C41" s="16" t="str">
        <x:v>Mattresses</x:v>
      </x:c>
      <x:c r="D41" s="16" t="str">
        <x:v>Furniture &gt; Beds &amp; Accessories &gt; Mattresses &gt; Innerspring Mattresses</x:v>
      </x:c>
      <x:c r="E41" s="16" t="str">
        <x:v>Budget Beds</x:v>
      </x:c>
      <x:c r="F41" s="16" t="str">
        <x:v>1</x:v>
      </x:c>
      <x:c r="G41" s="16" t="str">
        <x:v>active</x:v>
      </x:c>
      <x:c r="H41" s="16" t="str">
        <x:v>Firm</x:v>
      </x:c>
      <x:c r="I41" s="16" t="str">
        <x:v>Back Sleeper</x:v>
      </x:c>
      <x:c r="J41" s="16" t="str"/>
      <x:c r="K41" s="16" t="str">
        <x:v>Title: Default Title</x:v>
      </x:c>
      <x:c r="L41" s="18" t="n">
        <x:v>799</x:v>
      </x:c>
      <x:c r="M41" s="18" t="n">
        <x:v>799</x:v>
      </x:c>
      <x:c r="N41" s="18" t="n">
        <x:v>999</x:v>
      </x:c>
      <x:c r="O41" s="16" t="n">
        <x:v>6</x:v>
      </x:c>
      <x:c r="P41" s="16" t="str">
        <x:v>Yes</x:v>
      </x:c>
      <x:c r="Q41" s="16" t="str">
        <x:v>Core</x:v>
      </x:c>
      <x:c r="R41" s="16" t="str">
        <x:v>Matches a priority Bed Studio category.</x:v>
      </x:c>
    </x:row>
    <x:row r="42" ht="34" customHeight="1">
      <x:c r="A42" s="16" t="str">
        <x:v>care-plus-super-king-bed</x:v>
      </x:c>
      <x:c r="B42" s="16" t="str"/>
      <x:c r="C42" s="16" t="str"/>
      <x:c r="D42" s="16" t="str"/>
      <x:c r="E42" s="16" t="str"/>
      <x:c r="F42" s="16" t="str"/>
      <x:c r="G42" s="16" t="str"/>
      <x:c r="H42" s="16" t="str">
        <x:v>Firm</x:v>
      </x:c>
      <x:c r="I42" s="16" t="str">
        <x:v>Back Sleeper</x:v>
      </x:c>
      <x:c r="J42" s="16" t="str"/>
      <x:c r="K42" s="16" t="str"/>
      <x:c r="L42" s="18"/>
      <x:c r="M42" s="18"/>
      <x:c r="N42" s="18"/>
      <x:c r="O42" s="16" t="n">
        <x:v>5</x:v>
      </x:c>
      <x:c r="P42" s="16" t="str">
        <x:v>Yes</x:v>
      </x:c>
      <x:c r="Q42" s="16" t="str">
        <x:v>Review</x:v>
      </x:c>
      <x:c r="R42" s="16" t="str">
        <x:v>Catalogue fit, duplication and product facts need manual review.</x:v>
      </x:c>
    </x:row>
    <x:row r="43" ht="34" customHeight="1">
      <x:c r="A43" s="16" t="str">
        <x:v>care-plus-super-king-mattress</x:v>
      </x:c>
      <x:c r="B43" s="16" t="str">
        <x:v>Care Plus X-Firm Mattress - Super King</x:v>
      </x:c>
      <x:c r="C43" s="16" t="str">
        <x:v>Mattresses</x:v>
      </x:c>
      <x:c r="D43" s="16" t="str">
        <x:v>Furniture &gt; Beds &amp; Accessories &gt; Mattresses &gt; Innerspring Mattresses</x:v>
      </x:c>
      <x:c r="E43" s="16" t="str">
        <x:v>Budget Beds</x:v>
      </x:c>
      <x:c r="F43" s="16" t="str">
        <x:v>1</x:v>
      </x:c>
      <x:c r="G43" s="16" t="str">
        <x:v>active</x:v>
      </x:c>
      <x:c r="H43" s="16" t="str">
        <x:v>Firm</x:v>
      </x:c>
      <x:c r="I43" s="16" t="str">
        <x:v>Back Sleeper</x:v>
      </x:c>
      <x:c r="J43" s="16" t="str"/>
      <x:c r="K43" s="16" t="str">
        <x:v>Title: Default Title</x:v>
      </x:c>
      <x:c r="L43" s="18" t="n">
        <x:v>1299</x:v>
      </x:c>
      <x:c r="M43" s="18" t="n">
        <x:v>1299</x:v>
      </x:c>
      <x:c r="N43" s="18" t="n">
        <x:v>1799</x:v>
      </x:c>
      <x:c r="O43" s="16" t="n">
        <x:v>6</x:v>
      </x:c>
      <x:c r="P43" s="16" t="str">
        <x:v>Yes</x:v>
      </x:c>
      <x:c r="Q43" s="16" t="str">
        <x:v>Core</x:v>
      </x:c>
      <x:c r="R43" s="16" t="str">
        <x:v>Matches a priority Bed Studio category.</x:v>
      </x:c>
    </x:row>
    <x:row r="44" ht="34" customHeight="1">
      <x:c r="A44" s="16" t="str">
        <x:v>care-plus-x-firm-queen-bed</x:v>
      </x:c>
      <x:c r="B44" s="16" t="str">
        <x:v>Care Plus X-Firm Mattress &amp; Base - Queen</x:v>
      </x:c>
      <x:c r="C44" s="16" t="str">
        <x:v>Beds &amp; Bed Frames</x:v>
      </x:c>
      <x:c r="D44" s="16" t="str">
        <x:v>Furniture &gt; Beds &amp; Accessories &gt; Beds &amp; Bed Frames</x:v>
      </x:c>
      <x:c r="E44" s="16" t="str">
        <x:v>Budget Beds</x:v>
      </x:c>
      <x:c r="F44" s="16" t="str">
        <x:v>1</x:v>
      </x:c>
      <x:c r="G44" s="16" t="str">
        <x:v>active</x:v>
      </x:c>
      <x:c r="H44" s="16" t="str">
        <x:v>Firm</x:v>
      </x:c>
      <x:c r="I44" s="16" t="str">
        <x:v>Back Sleeper</x:v>
      </x:c>
      <x:c r="J44" s="16" t="str"/>
      <x:c r="K44" s="16" t="str">
        <x:v>Bed Base: Mattress with Standard Queen Bed Base, Mattress with Split Queen Base</x:v>
      </x:c>
      <x:c r="L44" s="18" t="n">
        <x:v>1399</x:v>
      </x:c>
      <x:c r="M44" s="18" t="n">
        <x:v>1499</x:v>
      </x:c>
      <x:c r="N44" s="18" t="n">
        <x:v>2099</x:v>
      </x:c>
      <x:c r="O44" s="16" t="n">
        <x:v>9</x:v>
      </x:c>
      <x:c r="P44" s="16" t="str">
        <x:v>Yes</x:v>
      </x:c>
      <x:c r="Q44" s="16" t="str">
        <x:v>Core</x:v>
      </x:c>
      <x:c r="R44" s="16" t="str">
        <x:v>Matches a priority Bed Studio category.</x:v>
      </x:c>
    </x:row>
    <x:row r="45" ht="34" customHeight="1">
      <x:c r="A45" s="16" t="str">
        <x:v>care-plus-x-firm-queen-mattress</x:v>
      </x:c>
      <x:c r="B45" s="16" t="str">
        <x:v>Care Plus X-Firm Mattress - Queen</x:v>
      </x:c>
      <x:c r="C45" s="16" t="str">
        <x:v>Mattresses</x:v>
      </x:c>
      <x:c r="D45" s="16" t="str">
        <x:v>Furniture &gt; Beds &amp; Accessories &gt; Mattresses &gt; Innerspring Mattresses</x:v>
      </x:c>
      <x:c r="E45" s="16" t="str">
        <x:v>Budget Beds</x:v>
      </x:c>
      <x:c r="F45" s="16" t="str">
        <x:v>1</x:v>
      </x:c>
      <x:c r="G45" s="16" t="str">
        <x:v>active</x:v>
      </x:c>
      <x:c r="H45" s="16" t="str">
        <x:v>Firm</x:v>
      </x:c>
      <x:c r="I45" s="16" t="str">
        <x:v>Back Sleeper</x:v>
      </x:c>
      <x:c r="J45" s="16" t="str"/>
      <x:c r="K45" s="16" t="str">
        <x:v>Title: Default Title</x:v>
      </x:c>
      <x:c r="L45" s="18" t="n">
        <x:v>1099</x:v>
      </x:c>
      <x:c r="M45" s="18" t="n">
        <x:v>1099</x:v>
      </x:c>
      <x:c r="N45" s="18" t="n">
        <x:v>1499</x:v>
      </x:c>
      <x:c r="O45" s="16" t="n">
        <x:v>7</x:v>
      </x:c>
      <x:c r="P45" s="16" t="str">
        <x:v>Yes</x:v>
      </x:c>
      <x:c r="Q45" s="16" t="str">
        <x:v>Core</x:v>
      </x:c>
      <x:c r="R45" s="16" t="str">
        <x:v>Matches a priority Bed Studio category.</x:v>
      </x:c>
    </x:row>
    <x:row r="46" ht="34" customHeight="1">
      <x:c r="A46" s="16" t="str">
        <x:v>care-plus-x-firm-single-bed</x:v>
      </x:c>
      <x:c r="B46" s="16" t="str">
        <x:v>Care Plus X-Firm Mattress &amp; Base - Single</x:v>
      </x:c>
      <x:c r="C46" s="16" t="str">
        <x:v>Beds &amp; Bed Frames</x:v>
      </x:c>
      <x:c r="D46" s="16" t="str">
        <x:v>Furniture &gt; Beds &amp; Accessories &gt; Mattresses &gt; Innerspring Mattresses</x:v>
      </x:c>
      <x:c r="E46" s="16" t="str">
        <x:v>Budget Beds</x:v>
      </x:c>
      <x:c r="F46" s="16" t="str">
        <x:v>1</x:v>
      </x:c>
      <x:c r="G46" s="16" t="str">
        <x:v>active</x:v>
      </x:c>
      <x:c r="H46" s="16" t="str">
        <x:v>Firm</x:v>
      </x:c>
      <x:c r="I46" s="16" t="str">
        <x:v>Back Sleeper</x:v>
      </x:c>
      <x:c r="J46" s="16" t="str"/>
      <x:c r="K46" s="16" t="str">
        <x:v>Title: Default Title</x:v>
      </x:c>
      <x:c r="L46" s="18" t="n">
        <x:v>999</x:v>
      </x:c>
      <x:c r="M46" s="18" t="n">
        <x:v>999</x:v>
      </x:c>
      <x:c r="N46" s="18" t="n">
        <x:v>1499</x:v>
      </x:c>
      <x:c r="O46" s="16" t="n">
        <x:v>7</x:v>
      </x:c>
      <x:c r="P46" s="16" t="str">
        <x:v>Yes</x:v>
      </x:c>
      <x:c r="Q46" s="16" t="str">
        <x:v>Core</x:v>
      </x:c>
      <x:c r="R46" s="16" t="str">
        <x:v>Matches a priority Bed Studio category.</x:v>
      </x:c>
    </x:row>
    <x:row r="47" ht="34" customHeight="1">
      <x:c r="A47" s="16" t="str">
        <x:v>classic-headboard-king</x:v>
      </x:c>
      <x:c r="B47" s="16" t="str">
        <x:v>Classic Headboard - KING</x:v>
      </x:c>
      <x:c r="C47" s="16" t="str">
        <x:v>HeadBoards</x:v>
      </x:c>
      <x:c r="D47" s="16" t="str">
        <x:v>Furniture &gt; Beds &amp; Accessories &gt; Headboards</x:v>
      </x:c>
      <x:c r="E47" s="16" t="str">
        <x:v>Budget Beds</x:v>
      </x:c>
      <x:c r="F47" s="16" t="str">
        <x:v>1</x:v>
      </x:c>
      <x:c r="G47" s="16" t="str">
        <x:v>active</x:v>
      </x:c>
      <x:c r="H47" s="16" t="str"/>
      <x:c r="I47" s="16" t="str"/>
      <x:c r="J47" s="16" t="str"/>
      <x:c r="K47" s="16" t="str">
        <x:v>Title: Default Title</x:v>
      </x:c>
      <x:c r="L47" s="18" t="n">
        <x:v>279</x:v>
      </x:c>
      <x:c r="M47" s="18" t="n">
        <x:v>279</x:v>
      </x:c>
      <x:c r="N47" s="18" t="n">
        <x:v>449</x:v>
      </x:c>
      <x:c r="O47" s="16" t="n">
        <x:v>4</x:v>
      </x:c>
      <x:c r="P47" s="16" t="str">
        <x:v>No</x:v>
      </x:c>
      <x:c r="Q47" s="16" t="str">
        <x:v>Core</x:v>
      </x:c>
      <x:c r="R47" s="16" t="str">
        <x:v>Matches a priority Bed Studio category.</x:v>
      </x:c>
    </x:row>
    <x:row r="48" ht="34" customHeight="1">
      <x:c r="A48" s="16" t="str">
        <x:v>classic-headboard-nz-made-single</x:v>
      </x:c>
      <x:c r="B48" s="16" t="str"/>
      <x:c r="C48" s="16" t="str"/>
      <x:c r="D48" s="16" t="str"/>
      <x:c r="E48" s="16" t="str"/>
      <x:c r="F48" s="16" t="str"/>
      <x:c r="G48" s="16" t="str"/>
      <x:c r="H48" s="16" t="str"/>
      <x:c r="I48" s="16" t="str"/>
      <x:c r="J48" s="16" t="str"/>
      <x:c r="K48" s="16" t="str"/>
      <x:c r="L48" s="18"/>
      <x:c r="M48" s="18"/>
      <x:c r="N48" s="18"/>
      <x:c r="O48" s="16" t="n">
        <x:v>2</x:v>
      </x:c>
      <x:c r="P48" s="16" t="str">
        <x:v>No</x:v>
      </x:c>
      <x:c r="Q48" s="16" t="str">
        <x:v>Core</x:v>
      </x:c>
      <x:c r="R48" s="16" t="str">
        <x:v>Matches a priority Bed Studio category.</x:v>
      </x:c>
    </x:row>
    <x:row r="49" ht="34" customHeight="1">
      <x:c r="A49" s="16" t="str">
        <x:v>classic-headboard-single</x:v>
      </x:c>
      <x:c r="B49" s="16" t="str"/>
      <x:c r="C49" s="16" t="str"/>
      <x:c r="D49" s="16" t="str"/>
      <x:c r="E49" s="16" t="str"/>
      <x:c r="F49" s="16" t="str"/>
      <x:c r="G49" s="16" t="str"/>
      <x:c r="H49" s="16" t="str"/>
      <x:c r="I49" s="16" t="str"/>
      <x:c r="J49" s="16" t="str"/>
      <x:c r="K49" s="16" t="str"/>
      <x:c r="L49" s="18"/>
      <x:c r="M49" s="18"/>
      <x:c r="N49" s="18"/>
      <x:c r="O49" s="16" t="n">
        <x:v>3</x:v>
      </x:c>
      <x:c r="P49" s="16" t="str">
        <x:v>No</x:v>
      </x:c>
      <x:c r="Q49" s="16" t="str">
        <x:v>Core</x:v>
      </x:c>
      <x:c r="R49" s="16" t="str">
        <x:v>Matches a priority Bed Studio category.</x:v>
      </x:c>
    </x:row>
    <x:row r="50" ht="34" customHeight="1">
      <x:c r="A50" s="16" t="str">
        <x:v>corealign-nz-made-premium-firm-mattress</x:v>
      </x:c>
      <x:c r="B50" s="16" t="str">
        <x:v>CoreAlign+ NZ Made Premium (Firm) Mattress</x:v>
      </x:c>
      <x:c r="C50" s="16" t="str"/>
      <x:c r="D50" s="16" t="str">
        <x:v>Furniture &gt; Beds &amp; Accessories &gt; Mattresses &gt; Innerspring Mattresses</x:v>
      </x:c>
      <x:c r="E50" s="16" t="str">
        <x:v>Budget Beds</x:v>
      </x:c>
      <x:c r="F50" s="16" t="str">
        <x:v>1</x:v>
      </x:c>
      <x:c r="G50" s="16" t="str">
        <x:v>active</x:v>
      </x:c>
      <x:c r="H50" s="16" t="str">
        <x:v>Firm</x:v>
      </x:c>
      <x:c r="I50" s="16" t="str">
        <x:v>Back Sleeper</x:v>
      </x:c>
      <x:c r="J50" s="16" t="str"/>
      <x:c r="K50" s="16" t="str">
        <x:v>Size: Single, King Single, Long Single, Double, Queen, King, Super King, California King</x:v>
      </x:c>
      <x:c r="L50" s="18" t="n">
        <x:v>545</x:v>
      </x:c>
      <x:c r="M50" s="18" t="n">
        <x:v>1895</x:v>
      </x:c>
      <x:c r="N50" s="18" t="n">
        <x:v>3158</x:v>
      </x:c>
      <x:c r="O50" s="16" t="n">
        <x:v>5</x:v>
      </x:c>
      <x:c r="P50" s="16" t="str">
        <x:v>Yes</x:v>
      </x:c>
      <x:c r="Q50" s="16" t="str">
        <x:v>Core</x:v>
      </x:c>
      <x:c r="R50" s="16" t="str">
        <x:v>Matches a priority Bed Studio category.</x:v>
      </x:c>
    </x:row>
    <x:row r="51" ht="34" customHeight="1">
      <x:c r="A51" s="16" t="str">
        <x:v>corealign-nz-made-premium-firm-mattress-base</x:v>
      </x:c>
      <x:c r="B51" s="16" t="str">
        <x:v>CoreAlign+ NZ Made Premium (Firm) Mattress &amp; Base</x:v>
      </x:c>
      <x:c r="C51" s="16" t="str"/>
      <x:c r="D51" s="16" t="str">
        <x:v>Furniture &gt; Beds &amp; Accessories &gt; Mattresses &gt; Innerspring Mattresses</x:v>
      </x:c>
      <x:c r="E51" s="16" t="str">
        <x:v>Budget Beds</x:v>
      </x:c>
      <x:c r="F51" s="16" t="str">
        <x:v>1</x:v>
      </x:c>
      <x:c r="G51" s="16" t="str">
        <x:v>active</x:v>
      </x:c>
      <x:c r="H51" s="16" t="str">
        <x:v>Firm</x:v>
      </x:c>
      <x:c r="I51" s="16" t="str">
        <x:v>Back Sleeper</x:v>
      </x:c>
      <x:c r="J51" s="16" t="str"/>
      <x:c r="K51" s="16" t="str">
        <x:v>Size: Single, King Single, Long Single, Double, Queen, King, Super King, California King</x:v>
      </x:c>
      <x:c r="L51" s="18" t="n">
        <x:v>799</x:v>
      </x:c>
      <x:c r="M51" s="18" t="n">
        <x:v>2450</x:v>
      </x:c>
      <x:c r="N51" s="18" t="n">
        <x:v>3645</x:v>
      </x:c>
      <x:c r="O51" s="16" t="n">
        <x:v>6</x:v>
      </x:c>
      <x:c r="P51" s="16" t="str">
        <x:v>Yes</x:v>
      </x:c>
      <x:c r="Q51" s="16" t="str">
        <x:v>Core</x:v>
      </x:c>
      <x:c r="R51" s="16" t="str">
        <x:v>Matches a priority Bed Studio category.</x:v>
      </x:c>
    </x:row>
    <x:row r="52" ht="34" customHeight="1">
      <x:c r="A52" s="16" t="str">
        <x:v>corealign-plush-5-zone-euro-top-pocket-spring-nz-made-premium-mattress</x:v>
      </x:c>
      <x:c r="B52" s="16" t="str">
        <x:v>CoreAlign+ 5 Zone Pillow Top Pocket Spring (NZ Made) Premium Mattress</x:v>
      </x:c>
      <x:c r="C52" s="16" t="str">
        <x:v>Mattresses</x:v>
      </x:c>
      <x:c r="D52" s="16" t="str">
        <x:v>Furniture &gt; Beds &amp; Accessories &gt; Mattresses &gt; Innerspring Mattresses</x:v>
      </x:c>
      <x:c r="E52" s="16" t="str">
        <x:v>Budget Beds</x:v>
      </x:c>
      <x:c r="F52" s="16" t="str">
        <x:v>1</x:v>
      </x:c>
      <x:c r="G52" s="16" t="str">
        <x:v>active</x:v>
      </x:c>
      <x:c r="H52" s="16" t="str">
        <x:v>medium, soft</x:v>
      </x:c>
      <x:c r="I52" s="16" t="str">
        <x:v>Side / Back / Belly Sleeper, Side Sleeper</x:v>
      </x:c>
      <x:c r="J52" s="16" t="str"/>
      <x:c r="K52" s="16" t="str">
        <x:v>Size: Single, King Single, Double, Queen, King, Super King, California King, Long Single | Firmness: medium, soft</x:v>
      </x:c>
      <x:c r="L52" s="18" t="n">
        <x:v>545</x:v>
      </x:c>
      <x:c r="M52" s="18" t="n">
        <x:v>1895</x:v>
      </x:c>
      <x:c r="N52" s="18" t="n">
        <x:v>2995</x:v>
      </x:c>
      <x:c r="O52" s="16" t="n">
        <x:v>7</x:v>
      </x:c>
      <x:c r="P52" s="16" t="str">
        <x:v>Yes</x:v>
      </x:c>
      <x:c r="Q52" s="16" t="str">
        <x:v>Support</x:v>
      </x:c>
      <x:c r="R52" s="16" t="str">
        <x:v>Useful add-on, but not a primary launch or SEO page.</x:v>
      </x:c>
    </x:row>
    <x:row r="53" ht="34" customHeight="1">
      <x:c r="A53" s="16" t="str">
        <x:v>corealign-plush-5-zone-euro-top-pocket-spring-nz-made-premium-mattress-base</x:v>
      </x:c>
      <x:c r="B53" s="16" t="str">
        <x:v>CoreAlign (NZ Made Premium) - 5 Zone Pillow Top Pocket Spring Mattress &amp; Base</x:v>
      </x:c>
      <x:c r="C53" s="16" t="str">
        <x:v>Beds</x:v>
      </x:c>
      <x:c r="D53" s="16" t="str">
        <x:v>Furniture &gt; Beds &amp; Accessories &gt; Mattresses &gt; Innerspring Mattresses</x:v>
      </x:c>
      <x:c r="E53" s="16" t="str">
        <x:v>Budget Beds</x:v>
      </x:c>
      <x:c r="F53" s="16" t="str">
        <x:v>1</x:v>
      </x:c>
      <x:c r="G53" s="16" t="str">
        <x:v>active</x:v>
      </x:c>
      <x:c r="H53" s="16" t="str">
        <x:v>Medium, Soft</x:v>
      </x:c>
      <x:c r="I53" s="16" t="str">
        <x:v>Side / Back / Belly Sleeper, Side Sleeper</x:v>
      </x:c>
      <x:c r="J53" s="16" t="str"/>
      <x:c r="K53" s="16" t="str">
        <x:v>Size: Single, King Single, Double, Queen, King, Super King, California King, Long Single | Firmness: Medium, Soft</x:v>
      </x:c>
      <x:c r="L53" s="18" t="n">
        <x:v>799</x:v>
      </x:c>
      <x:c r="M53" s="18" t="n">
        <x:v>2450</x:v>
      </x:c>
      <x:c r="N53" s="18" t="n">
        <x:v>4249</x:v>
      </x:c>
      <x:c r="O53" s="16" t="n">
        <x:v>7</x:v>
      </x:c>
      <x:c r="P53" s="16" t="str">
        <x:v>Yes</x:v>
      </x:c>
      <x:c r="Q53" s="16" t="str">
        <x:v>Support</x:v>
      </x:c>
      <x:c r="R53" s="16" t="str">
        <x:v>Useful add-on, but not a primary launch or SEO page.</x:v>
      </x:c>
    </x:row>
    <x:row r="54" ht="34" customHeight="1">
      <x:c r="A54" s="16" t="str">
        <x:v>cozycloud-nz-made-premium-mattress</x:v>
      </x:c>
      <x:c r="B54" s="16" t="str">
        <x:v>CozyCloud NZ Made Premium Mattress</x:v>
      </x:c>
      <x:c r="C54" s="16" t="str"/>
      <x:c r="D54" s="16" t="str">
        <x:v>Furniture &gt; Beds &amp; Accessories &gt; Mattresses &gt; Innerspring Mattresses</x:v>
      </x:c>
      <x:c r="E54" s="16" t="str">
        <x:v>Budget Beds</x:v>
      </x:c>
      <x:c r="F54" s="16" t="str">
        <x:v>1</x:v>
      </x:c>
      <x:c r="G54" s="16" t="str">
        <x:v>active</x:v>
      </x:c>
      <x:c r="H54" s="16" t="str">
        <x:v>Plush, Medium, Firm</x:v>
      </x:c>
      <x:c r="I54" s="16" t="str">
        <x:v>Side Sleeper, Side / Back / Belly Sleeper, Back Sleeper</x:v>
      </x:c>
      <x:c r="J54" s="16" t="str"/>
      <x:c r="K54" s="16" t="str">
        <x:v>Size: Single, King Single, Long Single, Double, Long Double, Queen, King, Super King, California King | Firmness: Plush, Medium, Firm</x:v>
      </x:c>
      <x:c r="L54" s="18" t="n">
        <x:v>799</x:v>
      </x:c>
      <x:c r="M54" s="18" t="n">
        <x:v>2200</x:v>
      </x:c>
      <x:c r="N54" s="18" t="n">
        <x:v>2875</x:v>
      </x:c>
      <x:c r="O54" s="16" t="n">
        <x:v>8</x:v>
      </x:c>
      <x:c r="P54" s="16" t="str">
        <x:v>No</x:v>
      </x:c>
      <x:c r="Q54" s="16" t="str">
        <x:v>Core</x:v>
      </x:c>
      <x:c r="R54" s="16" t="str">
        <x:v>Matches a priority Bed Studio category.</x:v>
      </x:c>
    </x:row>
    <x:row r="55" ht="34" customHeight="1">
      <x:c r="A55" s="16" t="str">
        <x:v>cozycloud-nz-made-premium-mattress-base</x:v>
      </x:c>
      <x:c r="B55" s="16" t="str">
        <x:v>CozyCloud NZ Made Premium Mattress &amp; Base</x:v>
      </x:c>
      <x:c r="C55" s="16" t="str"/>
      <x:c r="D55" s="16" t="str">
        <x:v>Furniture &gt; Beds &amp; Accessories &gt; Mattresses &gt; Innerspring Mattresses</x:v>
      </x:c>
      <x:c r="E55" s="16" t="str">
        <x:v>Budget Beds</x:v>
      </x:c>
      <x:c r="F55" s="16" t="str">
        <x:v>1</x:v>
      </x:c>
      <x:c r="G55" s="16" t="str">
        <x:v>active</x:v>
      </x:c>
      <x:c r="H55" s="16" t="str">
        <x:v>Plush, Medium, Firm</x:v>
      </x:c>
      <x:c r="I55" s="16" t="str">
        <x:v>Side Sleeper, Side / Back / Belly Sleeper, Back Sleeper</x:v>
      </x:c>
      <x:c r="J55" s="16" t="str"/>
      <x:c r="K55" s="16" t="str">
        <x:v>Size: Single, King Single, Long Single, Double, Queen, King, Super King, California King | Feel: Plush / Soft, Medium, Firm</x:v>
      </x:c>
      <x:c r="L55" s="18" t="n">
        <x:v>1045</x:v>
      </x:c>
      <x:c r="M55" s="18" t="n">
        <x:v>2769</x:v>
      </x:c>
      <x:c r="N55" s="18" t="n">
        <x:v>4174</x:v>
      </x:c>
      <x:c r="O55" s="16" t="n">
        <x:v>7</x:v>
      </x:c>
      <x:c r="P55" s="16" t="str">
        <x:v>No</x:v>
      </x:c>
      <x:c r="Q55" s="16" t="str">
        <x:v>Core</x:v>
      </x:c>
      <x:c r="R55" s="16" t="str">
        <x:v>Matches a priority Bed Studio category.</x:v>
      </x:c>
    </x:row>
    <x:row r="56" ht="34" customHeight="1">
      <x:c r="A56" s="16" t="str">
        <x:v>deep-tufted-headboard-queen</x:v>
      </x:c>
      <x:c r="B56" s="16" t="str">
        <x:v>Deep Tufted Headboard - QUEEN</x:v>
      </x:c>
      <x:c r="C56" s="16" t="str">
        <x:v>HeadBoards</x:v>
      </x:c>
      <x:c r="D56" s="16" t="str">
        <x:v>Furniture &gt; Beds &amp; Accessories &gt; Headboards</x:v>
      </x:c>
      <x:c r="E56" s="16" t="str">
        <x:v>Budget Beds</x:v>
      </x:c>
      <x:c r="F56" s="16" t="str">
        <x:v>0</x:v>
      </x:c>
      <x:c r="G56" s="16" t="str">
        <x:v>archived</x:v>
      </x:c>
      <x:c r="H56" s="16" t="str"/>
      <x:c r="I56" s="16" t="str"/>
      <x:c r="J56" s="16" t="str"/>
      <x:c r="K56" s="16" t="str">
        <x:v>Title: Default Title</x:v>
      </x:c>
      <x:c r="L56" s="18" t="n">
        <x:v>345</x:v>
      </x:c>
      <x:c r="M56" s="18" t="n">
        <x:v>345</x:v>
      </x:c>
      <x:c r="N56" s="18" t="n">
        <x:v>599</x:v>
      </x:c>
      <x:c r="O56" s="16" t="n">
        <x:v>4</x:v>
      </x:c>
      <x:c r="P56" s="16" t="str">
        <x:v>No</x:v>
      </x:c>
      <x:c r="Q56" s="16" t="str">
        <x:v>Core</x:v>
      </x:c>
      <x:c r="R56" s="16" t="str">
        <x:v>Matches a priority Bed Studio category.</x:v>
      </x:c>
    </x:row>
    <x:row r="57" ht="34" customHeight="1">
      <x:c r="A57" s="16" t="str">
        <x:v>dreamer-sofa-bed</x:v>
      </x:c>
      <x:c r="B57" s="16" t="str">
        <x:v>Dreamer - Sofa Bed</x:v>
      </x:c>
      <x:c r="C57" s="16" t="str"/>
      <x:c r="D57" s="16" t="str">
        <x:v>Furniture &gt; Sofas</x:v>
      </x:c>
      <x:c r="E57" s="16" t="str">
        <x:v>Budget Beds</x:v>
      </x:c>
      <x:c r="F57" s="16" t="str">
        <x:v>1</x:v>
      </x:c>
      <x:c r="G57" s="16" t="str">
        <x:v>active</x:v>
      </x:c>
      <x:c r="H57" s="16" t="str"/>
      <x:c r="I57" s="16" t="str"/>
      <x:c r="J57" s="16" t="str"/>
      <x:c r="K57" s="16" t="str">
        <x:v>Colour: Beige, Grey</x:v>
      </x:c>
      <x:c r="L57" s="18" t="n">
        <x:v>1099</x:v>
      </x:c>
      <x:c r="M57" s="18" t="n">
        <x:v>1099</x:v>
      </x:c>
      <x:c r="N57" s="18"/>
      <x:c r="O57" s="16" t="n">
        <x:v>6</x:v>
      </x:c>
      <x:c r="P57" s="16" t="str">
        <x:v>Yes</x:v>
      </x:c>
      <x:c r="Q57" s="16" t="str">
        <x:v>Exclude / archive candidate</x:v>
      </x:c>
      <x:c r="R57" s="16" t="str">
        <x:v>Off-position for the premium bed and mattress launch; client review required.</x:v>
      </x:c>
    </x:row>
    <x:row r="58" ht="34" customHeight="1">
      <x:c r="A58" s="16" t="str">
        <x:v>dreamnest-nz-made-quality-mattress-bed-base</x:v>
      </x:c>
      <x:c r="B58" s="16" t="str">
        <x:v>DreamNest NZ Made Quality Mattress &amp; Bed Base</x:v>
      </x:c>
      <x:c r="C58" s="16" t="str"/>
      <x:c r="D58" s="16" t="str">
        <x:v>Furniture &gt; Beds &amp; Accessories &gt; Mattresses &gt; Innerspring Mattresses</x:v>
      </x:c>
      <x:c r="E58" s="16" t="str">
        <x:v>Budget Beds</x:v>
      </x:c>
      <x:c r="F58" s="16" t="str">
        <x:v>1</x:v>
      </x:c>
      <x:c r="G58" s="16" t="str">
        <x:v>active</x:v>
      </x:c>
      <x:c r="H58" s="16" t="str">
        <x:v>Plush, Medium, Firm</x:v>
      </x:c>
      <x:c r="I58" s="16" t="str">
        <x:v>Side Sleeper, Side / Back / Belly Sleeper, Back Sleeper</x:v>
      </x:c>
      <x:c r="J58" s="16" t="str"/>
      <x:c r="K58" s="16" t="str">
        <x:v>Size: Single, King Single, Long Single, Double, Queen, King, Super King, California King | Feel: Plush / Soft, Medium, Firm</x:v>
      </x:c>
      <x:c r="L58" s="18" t="n">
        <x:v>899</x:v>
      </x:c>
      <x:c r="M58" s="18" t="n">
        <x:v>2148</x:v>
      </x:c>
      <x:c r="N58" s="18" t="n">
        <x:v>3948</x:v>
      </x:c>
      <x:c r="O58" s="16" t="n">
        <x:v>5</x:v>
      </x:c>
      <x:c r="P58" s="16" t="str">
        <x:v>No</x:v>
      </x:c>
      <x:c r="Q58" s="16" t="str">
        <x:v>Core</x:v>
      </x:c>
      <x:c r="R58" s="16" t="str">
        <x:v>Matches a priority Bed Studio category.</x:v>
      </x:c>
    </x:row>
    <x:row r="59" ht="34" customHeight="1">
      <x:c r="A59" s="16" t="str">
        <x:v>extra-deep-drawer-bed-base-cal-king-nz-made</x:v>
      </x:c>
      <x:c r="B59" s="16" t="str">
        <x:v>Extra Deep Drawer Bed Base Size - Cal King (NZ Made)</x:v>
      </x:c>
      <x:c r="C59" s="16" t="str">
        <x:v>Bed Bases</x:v>
      </x:c>
      <x:c r="D59" s="16" t="str">
        <x:v>Furniture &gt; Beds &amp; Accessories &gt; Beds &amp; Bed Frames</x:v>
      </x:c>
      <x:c r="E59" s="16" t="str">
        <x:v>Budget Beds</x:v>
      </x:c>
      <x:c r="F59" s="16" t="str">
        <x:v>1</x:v>
      </x:c>
      <x:c r="G59" s="16" t="str">
        <x:v>active</x:v>
      </x:c>
      <x:c r="H59" s="16" t="str"/>
      <x:c r="I59" s="16" t="str"/>
      <x:c r="J59" s="16" t="str"/>
      <x:c r="K59" s="16" t="str">
        <x:v>Title: Default Title</x:v>
      </x:c>
      <x:c r="L59" s="18" t="n">
        <x:v>1399</x:v>
      </x:c>
      <x:c r="M59" s="18" t="n">
        <x:v>1399</x:v>
      </x:c>
      <x:c r="N59" s="18" t="n">
        <x:v>1999</x:v>
      </x:c>
      <x:c r="O59" s="16" t="n">
        <x:v>7</x:v>
      </x:c>
      <x:c r="P59" s="16" t="str">
        <x:v>Yes</x:v>
      </x:c>
      <x:c r="Q59" s="16" t="str">
        <x:v>Core</x:v>
      </x:c>
      <x:c r="R59" s="16" t="str">
        <x:v>Matches a priority Bed Studio category.</x:v>
      </x:c>
    </x:row>
    <x:row r="60" ht="34" customHeight="1">
      <x:c r="A60" s="16" t="str">
        <x:v>extra-deep-drawer-bed-base-king-nz-made</x:v>
      </x:c>
      <x:c r="B60" s="16" t="str">
        <x:v>Extra Deep Drawer Bed Base Size - King (NZ Made)</x:v>
      </x:c>
      <x:c r="C60" s="16" t="str">
        <x:v>Bed Bases</x:v>
      </x:c>
      <x:c r="D60" s="16" t="str">
        <x:v>Furniture &gt; Beds &amp; Accessories &gt; Bed &amp; Bed Frame Accessories</x:v>
      </x:c>
      <x:c r="E60" s="16" t="str">
        <x:v>Budget Beds</x:v>
      </x:c>
      <x:c r="F60" s="16" t="str">
        <x:v>1</x:v>
      </x:c>
      <x:c r="G60" s="16" t="str">
        <x:v>active</x:v>
      </x:c>
      <x:c r="H60" s="16" t="str"/>
      <x:c r="I60" s="16" t="str"/>
      <x:c r="J60" s="16" t="str"/>
      <x:c r="K60" s="16" t="str">
        <x:v>Title: Default Title</x:v>
      </x:c>
      <x:c r="L60" s="18" t="n">
        <x:v>1259</x:v>
      </x:c>
      <x:c r="M60" s="18" t="n">
        <x:v>1259</x:v>
      </x:c>
      <x:c r="N60" s="18" t="n">
        <x:v>1859</x:v>
      </x:c>
      <x:c r="O60" s="16" t="n">
        <x:v>8</x:v>
      </x:c>
      <x:c r="P60" s="16" t="str">
        <x:v>Yes</x:v>
      </x:c>
      <x:c r="Q60" s="16" t="str">
        <x:v>Core</x:v>
      </x:c>
      <x:c r="R60" s="16" t="str">
        <x:v>Matches a priority Bed Studio category.</x:v>
      </x:c>
    </x:row>
    <x:row r="61" ht="34" customHeight="1">
      <x:c r="A61" s="16" t="str">
        <x:v>extra-deep-drawer-bed-base-super-king-nz-made</x:v>
      </x:c>
      <x:c r="B61" s="16" t="str">
        <x:v>Extra Deep Drawer Bed Base Size - Super King (NZ Made)</x:v>
      </x:c>
      <x:c r="C61" s="16" t="str">
        <x:v>Bed Bases</x:v>
      </x:c>
      <x:c r="D61" s="16" t="str">
        <x:v>Furniture &gt; Beds &amp; Accessories &gt; Beds &amp; Bed Frames</x:v>
      </x:c>
      <x:c r="E61" s="16" t="str">
        <x:v>Budget Beds</x:v>
      </x:c>
      <x:c r="F61" s="16" t="str">
        <x:v>1</x:v>
      </x:c>
      <x:c r="G61" s="16" t="str">
        <x:v>active</x:v>
      </x:c>
      <x:c r="H61" s="16" t="str"/>
      <x:c r="I61" s="16" t="str"/>
      <x:c r="J61" s="16" t="str"/>
      <x:c r="K61" s="16" t="str">
        <x:v>Title: Default Title</x:v>
      </x:c>
      <x:c r="L61" s="18" t="n">
        <x:v>1299</x:v>
      </x:c>
      <x:c r="M61" s="18" t="n">
        <x:v>1299</x:v>
      </x:c>
      <x:c r="N61" s="18" t="n">
        <x:v>1899</x:v>
      </x:c>
      <x:c r="O61" s="16" t="n">
        <x:v>8</x:v>
      </x:c>
      <x:c r="P61" s="16" t="str">
        <x:v>Yes</x:v>
      </x:c>
      <x:c r="Q61" s="16" t="str">
        <x:v>Core</x:v>
      </x:c>
      <x:c r="R61" s="16" t="str">
        <x:v>Matches a priority Bed Studio category.</x:v>
      </x:c>
    </x:row>
    <x:row r="62" ht="34" customHeight="1">
      <x:c r="A62" s="16" t="str">
        <x:v>gas-lift-nz-made-storage-bed-double</x:v>
      </x:c>
      <x:c r="B62" s="16" t="str">
        <x:v>Gas Lift NZ Made Storage Bed - Double</x:v>
      </x:c>
      <x:c r="C62" s="16" t="str">
        <x:v>Beds &amp; Bed Frames</x:v>
      </x:c>
      <x:c r="D62" s="16" t="str">
        <x:v>Furniture &gt; Beds &amp; Accessories &gt; Beds &amp; Bed Frames</x:v>
      </x:c>
      <x:c r="E62" s="16" t="str">
        <x:v>Budget Beds</x:v>
      </x:c>
      <x:c r="F62" s="16" t="str">
        <x:v>1</x:v>
      </x:c>
      <x:c r="G62" s="16" t="str">
        <x:v>active</x:v>
      </x:c>
      <x:c r="H62" s="16" t="str"/>
      <x:c r="I62" s="16" t="str"/>
      <x:c r="J62" s="16" t="str"/>
      <x:c r="K62" s="16" t="str">
        <x:v>Title: Default Title</x:v>
      </x:c>
      <x:c r="L62" s="18" t="n">
        <x:v>1250</x:v>
      </x:c>
      <x:c r="M62" s="18" t="n">
        <x:v>1250</x:v>
      </x:c>
      <x:c r="N62" s="18" t="n">
        <x:v>1999</x:v>
      </x:c>
      <x:c r="O62" s="16" t="n">
        <x:v>7</x:v>
      </x:c>
      <x:c r="P62" s="16" t="str">
        <x:v>Yes</x:v>
      </x:c>
      <x:c r="Q62" s="16" t="str">
        <x:v>Core</x:v>
      </x:c>
      <x:c r="R62" s="16" t="str">
        <x:v>Matches a priority Bed Studio category.</x:v>
      </x:c>
    </x:row>
    <x:row r="63" ht="34" customHeight="1">
      <x:c r="A63" s="16" t="str">
        <x:v>gas-lift-nz-made-storage-bed-double-split</x:v>
      </x:c>
      <x:c r="B63" s="16" t="str">
        <x:v>Gas Lift NZ Made Storage Bed - Double Split</x:v>
      </x:c>
      <x:c r="C63" s="16" t="str">
        <x:v>Beds &amp; Bed Frames</x:v>
      </x:c>
      <x:c r="D63" s="16" t="str">
        <x:v>Furniture &gt; Beds &amp; Accessories &gt; Beds &amp; Bed Frames</x:v>
      </x:c>
      <x:c r="E63" s="16" t="str">
        <x:v>Budget Beds</x:v>
      </x:c>
      <x:c r="F63" s="16" t="str">
        <x:v>1</x:v>
      </x:c>
      <x:c r="G63" s="16" t="str">
        <x:v>active</x:v>
      </x:c>
      <x:c r="H63" s="16" t="str"/>
      <x:c r="I63" s="16" t="str"/>
      <x:c r="J63" s="16" t="str"/>
      <x:c r="K63" s="16" t="str">
        <x:v>Title: Default Title</x:v>
      </x:c>
      <x:c r="L63" s="18" t="n">
        <x:v>1349</x:v>
      </x:c>
      <x:c r="M63" s="18" t="n">
        <x:v>1349</x:v>
      </x:c>
      <x:c r="N63" s="18" t="n">
        <x:v>2549</x:v>
      </x:c>
      <x:c r="O63" s="16" t="n">
        <x:v>6</x:v>
      </x:c>
      <x:c r="P63" s="16" t="str">
        <x:v>Yes</x:v>
      </x:c>
      <x:c r="Q63" s="16" t="str">
        <x:v>Core</x:v>
      </x:c>
      <x:c r="R63" s="16" t="str">
        <x:v>Matches a priority Bed Studio category.</x:v>
      </x:c>
    </x:row>
    <x:row r="64" ht="34" customHeight="1">
      <x:c r="A64" s="16" t="str">
        <x:v>gas-lift-nz-made-storage-bed-king-single</x:v>
      </x:c>
      <x:c r="B64" s="16" t="str">
        <x:v>Gas Lift NZ Made Storage Bed - King Single</x:v>
      </x:c>
      <x:c r="C64" s="16" t="str">
        <x:v>Beds &amp; Bed Frames</x:v>
      </x:c>
      <x:c r="D64" s="16" t="str">
        <x:v>Furniture &gt; Beds &amp; Accessories &gt; Beds &amp; Bed Frames</x:v>
      </x:c>
      <x:c r="E64" s="16" t="str">
        <x:v>Budget Beds</x:v>
      </x:c>
      <x:c r="F64" s="16" t="str">
        <x:v>1</x:v>
      </x:c>
      <x:c r="G64" s="16" t="str">
        <x:v>active</x:v>
      </x:c>
      <x:c r="H64" s="16" t="str"/>
      <x:c r="I64" s="16" t="str"/>
      <x:c r="J64" s="16" t="str"/>
      <x:c r="K64" s="16" t="str">
        <x:v>Title: Default Title</x:v>
      </x:c>
      <x:c r="L64" s="18" t="n">
        <x:v>899</x:v>
      </x:c>
      <x:c r="M64" s="18" t="n">
        <x:v>899</x:v>
      </x:c>
      <x:c r="N64" s="18" t="n">
        <x:v>1799</x:v>
      </x:c>
      <x:c r="O64" s="16" t="n">
        <x:v>4</x:v>
      </x:c>
      <x:c r="P64" s="16" t="str">
        <x:v>Yes</x:v>
      </x:c>
      <x:c r="Q64" s="16" t="str">
        <x:v>Core</x:v>
      </x:c>
      <x:c r="R64" s="16" t="str">
        <x:v>Matches a priority Bed Studio category.</x:v>
      </x:c>
    </x:row>
    <x:row r="65" ht="34" customHeight="1">
      <x:c r="A65" s="16" t="str">
        <x:v>gas-lift-nz-made-storage-bed-king-split</x:v>
      </x:c>
      <x:c r="B65" s="16" t="str">
        <x:v>Gas Lift NZ Made Storage Bed - King</x:v>
      </x:c>
      <x:c r="C65" s="16" t="str">
        <x:v>Beds &amp; Bed Frames</x:v>
      </x:c>
      <x:c r="D65" s="16" t="str">
        <x:v>Furniture &gt; Beds &amp; Accessories &gt; Beds &amp; Bed Frames</x:v>
      </x:c>
      <x:c r="E65" s="16" t="str">
        <x:v>Budget Beds</x:v>
      </x:c>
      <x:c r="F65" s="16" t="str">
        <x:v>1</x:v>
      </x:c>
      <x:c r="G65" s="16" t="str">
        <x:v>active</x:v>
      </x:c>
      <x:c r="H65" s="16" t="str"/>
      <x:c r="I65" s="16" t="str"/>
      <x:c r="J65" s="16" t="str"/>
      <x:c r="K65" s="16" t="str">
        <x:v>Title: Default Title</x:v>
      </x:c>
      <x:c r="L65" s="18" t="n">
        <x:v>1549</x:v>
      </x:c>
      <x:c r="M65" s="18" t="n">
        <x:v>1549</x:v>
      </x:c>
      <x:c r="N65" s="18" t="n">
        <x:v>2699</x:v>
      </x:c>
      <x:c r="O65" s="16" t="n">
        <x:v>8</x:v>
      </x:c>
      <x:c r="P65" s="16" t="str">
        <x:v>Yes</x:v>
      </x:c>
      <x:c r="Q65" s="16" t="str">
        <x:v>Core</x:v>
      </x:c>
      <x:c r="R65" s="16" t="str">
        <x:v>Matches a priority Bed Studio category.</x:v>
      </x:c>
    </x:row>
    <x:row r="66" ht="34" customHeight="1">
      <x:c r="A66" s="16" t="str">
        <x:v>gas-lift-nz-made-storage-bed-long-single</x:v>
      </x:c>
      <x:c r="B66" s="16" t="str">
        <x:v>Gas Lift NZ Made Storage Bed - Long Single</x:v>
      </x:c>
      <x:c r="C66" s="16" t="str">
        <x:v>Beds &amp; Bed Frames</x:v>
      </x:c>
      <x:c r="D66" s="16" t="str">
        <x:v>Furniture &gt; Beds &amp; Accessories &gt; Beds &amp; Bed Frames</x:v>
      </x:c>
      <x:c r="E66" s="16" t="str">
        <x:v>Budget Beds</x:v>
      </x:c>
      <x:c r="F66" s="16" t="str">
        <x:v>1</x:v>
      </x:c>
      <x:c r="G66" s="16" t="str">
        <x:v>active</x:v>
      </x:c>
      <x:c r="H66" s="16" t="str"/>
      <x:c r="I66" s="16" t="str"/>
      <x:c r="J66" s="16" t="str"/>
      <x:c r="K66" s="16" t="str">
        <x:v>Title: Default Title</x:v>
      </x:c>
      <x:c r="L66" s="18" t="n">
        <x:v>899</x:v>
      </x:c>
      <x:c r="M66" s="18" t="n">
        <x:v>899</x:v>
      </x:c>
      <x:c r="N66" s="18" t="n">
        <x:v>1799</x:v>
      </x:c>
      <x:c r="O66" s="16" t="n">
        <x:v>4</x:v>
      </x:c>
      <x:c r="P66" s="16" t="str">
        <x:v>Yes</x:v>
      </x:c>
      <x:c r="Q66" s="16" t="str">
        <x:v>Core</x:v>
      </x:c>
      <x:c r="R66" s="16" t="str">
        <x:v>Matches a priority Bed Studio category.</x:v>
      </x:c>
    </x:row>
    <x:row r="67" ht="34" customHeight="1">
      <x:c r="A67" s="16" t="str">
        <x:v>gas-lift-nz-made-storage-bed-low-height-queen-split</x:v>
      </x:c>
      <x:c r="B67" s="16" t="str">
        <x:v>Gas Lift NZ Made Storage Bed (Low Height)- Queen Split</x:v>
      </x:c>
      <x:c r="C67" s="16" t="str">
        <x:v>Beds &amp; Bed Frames</x:v>
      </x:c>
      <x:c r="D67" s="16" t="str">
        <x:v>Furniture &gt; Beds &amp; Accessories &gt; Beds &amp; Bed Frames &gt; Divan Beds &amp; Bed Frames</x:v>
      </x:c>
      <x:c r="E67" s="16" t="str">
        <x:v>Budget Beds</x:v>
      </x:c>
      <x:c r="F67" s="16" t="str">
        <x:v>1</x:v>
      </x:c>
      <x:c r="G67" s="16" t="str">
        <x:v>active</x:v>
      </x:c>
      <x:c r="H67" s="16" t="str"/>
      <x:c r="I67" s="16" t="str"/>
      <x:c r="J67" s="16" t="str"/>
      <x:c r="K67" s="16" t="str">
        <x:v>Sizes: Single (in 1 Piece), King Single (in 1 Piece), Double (in 1 Piece), Queen (Split Base), King (Split Base), Super King (Split Base), California King (Split Base)</x:v>
      </x:c>
      <x:c r="L67" s="18" t="n">
        <x:v>799</x:v>
      </x:c>
      <x:c r="M67" s="18" t="n">
        <x:v>1750</x:v>
      </x:c>
      <x:c r="N67" s="18" t="n">
        <x:v>2250</x:v>
      </x:c>
      <x:c r="O67" s="16" t="n">
        <x:v>5</x:v>
      </x:c>
      <x:c r="P67" s="16" t="str">
        <x:v>Yes</x:v>
      </x:c>
      <x:c r="Q67" s="16" t="str">
        <x:v>Core</x:v>
      </x:c>
      <x:c r="R67" s="16" t="str">
        <x:v>Matches a priority Bed Studio category.</x:v>
      </x:c>
    </x:row>
    <x:row r="68" ht="34" customHeight="1">
      <x:c r="A68" s="16" t="str">
        <x:v>gas-lift-nz-made-storage-bed-queen</x:v>
      </x:c>
      <x:c r="B68" s="16" t="str">
        <x:v>Gas Lift NZ Made Storage Bed - Queen Split (Lower Height)</x:v>
      </x:c>
      <x:c r="C68" s="16" t="str">
        <x:v>Beds &amp; Bed Frames</x:v>
      </x:c>
      <x:c r="D68" s="16" t="str">
        <x:v>Furniture &gt; Beds &amp; Accessories &gt; Beds &amp; Bed Frames</x:v>
      </x:c>
      <x:c r="E68" s="16" t="str">
        <x:v>Budget Beds</x:v>
      </x:c>
      <x:c r="F68" s="16" t="str">
        <x:v>1</x:v>
      </x:c>
      <x:c r="G68" s="16" t="str">
        <x:v>active</x:v>
      </x:c>
      <x:c r="H68" s="16" t="str"/>
      <x:c r="I68" s="16" t="str"/>
      <x:c r="J68" s="16" t="str"/>
      <x:c r="K68" s="16" t="str">
        <x:v>Title: Default Title</x:v>
      </x:c>
      <x:c r="L68" s="18" t="n">
        <x:v>1399</x:v>
      </x:c>
      <x:c r="M68" s="18" t="n">
        <x:v>1399</x:v>
      </x:c>
      <x:c r="N68" s="18" t="n">
        <x:v>2499</x:v>
      </x:c>
      <x:c r="O68" s="16" t="n">
        <x:v>9</x:v>
      </x:c>
      <x:c r="P68" s="16" t="str">
        <x:v>Yes</x:v>
      </x:c>
      <x:c r="Q68" s="16" t="str">
        <x:v>Core</x:v>
      </x:c>
      <x:c r="R68" s="16" t="str">
        <x:v>Matches a priority Bed Studio category.</x:v>
      </x:c>
    </x:row>
    <x:row r="69" ht="34" customHeight="1">
      <x:c r="A69" s="16" t="str">
        <x:v>gas-lift-nz-made-storage-bed-queen-split</x:v>
      </x:c>
      <x:c r="B69" s="16" t="str">
        <x:v>Gas Lift NZ Made Storage Bed - Queen Split</x:v>
      </x:c>
      <x:c r="C69" s="16" t="str">
        <x:v>Beds &amp; Bed Frames</x:v>
      </x:c>
      <x:c r="D69" s="16" t="str">
        <x:v>Furniture &gt; Beds &amp; Accessories &gt; Beds &amp; Bed Frames</x:v>
      </x:c>
      <x:c r="E69" s="16" t="str">
        <x:v>Budget Beds</x:v>
      </x:c>
      <x:c r="F69" s="16" t="str">
        <x:v>1</x:v>
      </x:c>
      <x:c r="G69" s="16" t="str">
        <x:v>active</x:v>
      </x:c>
      <x:c r="H69" s="16" t="str"/>
      <x:c r="I69" s="16" t="str"/>
      <x:c r="J69" s="16" t="str"/>
      <x:c r="K69" s="16" t="str">
        <x:v>Title: Default Title</x:v>
      </x:c>
      <x:c r="L69" s="18" t="n">
        <x:v>1450</x:v>
      </x:c>
      <x:c r="M69" s="18" t="n">
        <x:v>1450</x:v>
      </x:c>
      <x:c r="N69" s="18" t="n">
        <x:v>2599</x:v>
      </x:c>
      <x:c r="O69" s="16" t="n">
        <x:v>9</x:v>
      </x:c>
      <x:c r="P69" s="16" t="str">
        <x:v>Yes</x:v>
      </x:c>
      <x:c r="Q69" s="16" t="str">
        <x:v>Core</x:v>
      </x:c>
      <x:c r="R69" s="16" t="str">
        <x:v>Matches a priority Bed Studio category.</x:v>
      </x:c>
    </x:row>
    <x:row r="70" ht="34" customHeight="1">
      <x:c r="A70" s="16" t="str">
        <x:v>gas-lift-nz-made-storage-bed-single</x:v>
      </x:c>
      <x:c r="B70" s="16" t="str">
        <x:v>Gas Lift NZ Made Storage Bed - Single</x:v>
      </x:c>
      <x:c r="C70" s="16" t="str">
        <x:v>Beds &amp; Bed Frames</x:v>
      </x:c>
      <x:c r="D70" s="16" t="str">
        <x:v>Furniture &gt; Beds &amp; Accessories &gt; Beds &amp; Bed Frames</x:v>
      </x:c>
      <x:c r="E70" s="16" t="str">
        <x:v>Budget Beds</x:v>
      </x:c>
      <x:c r="F70" s="16" t="str">
        <x:v>1</x:v>
      </x:c>
      <x:c r="G70" s="16" t="str">
        <x:v>active</x:v>
      </x:c>
      <x:c r="H70" s="16" t="str"/>
      <x:c r="I70" s="16" t="str"/>
      <x:c r="J70" s="16" t="str"/>
      <x:c r="K70" s="16" t="str">
        <x:v>Title: Default Title</x:v>
      </x:c>
      <x:c r="L70" s="18" t="n">
        <x:v>849</x:v>
      </x:c>
      <x:c r="M70" s="18" t="n">
        <x:v>849</x:v>
      </x:c>
      <x:c r="N70" s="18" t="n">
        <x:v>1599</x:v>
      </x:c>
      <x:c r="O70" s="16" t="n">
        <x:v>5</x:v>
      </x:c>
      <x:c r="P70" s="16" t="str">
        <x:v>Yes</x:v>
      </x:c>
      <x:c r="Q70" s="16" t="str">
        <x:v>Core</x:v>
      </x:c>
      <x:c r="R70" s="16" t="str">
        <x:v>Matches a priority Bed Studio category.</x:v>
      </x:c>
    </x:row>
    <x:row r="71" ht="34" customHeight="1">
      <x:c r="A71" s="16" t="str">
        <x:v>lunarest-nz-made-luxurious-euro-top-mattress-base</x:v>
      </x:c>
      <x:c r="B71" s="16" t="str">
        <x:v>LunaRest NZ Made Luxurious Euro Top Mattress &amp; Base</x:v>
      </x:c>
      <x:c r="C71" s="16" t="str"/>
      <x:c r="D71" s="16" t="str">
        <x:v>Furniture &gt; Beds &amp; Accessories &gt; Mattresses &gt; Latex Mattresses</x:v>
      </x:c>
      <x:c r="E71" s="16" t="str">
        <x:v>Budget Beds</x:v>
      </x:c>
      <x:c r="F71" s="16" t="str">
        <x:v>1</x:v>
      </x:c>
      <x:c r="G71" s="16" t="str">
        <x:v>active</x:v>
      </x:c>
      <x:c r="H71" s="16" t="str">
        <x:v>Plush, Medium, Firm</x:v>
      </x:c>
      <x:c r="I71" s="16" t="str">
        <x:v>Side Sleeper, Side / Back / Belly Sleeper, Back Sleeper</x:v>
      </x:c>
      <x:c r="J71" s="16" t="str"/>
      <x:c r="K71" s="16" t="str">
        <x:v>Bed Size: Single, Long Single, King Single, Double, Queen, King, Super King, California King | Feel: Plush / Soft, Medium, Firm</x:v>
      </x:c>
      <x:c r="L71" s="18" t="n">
        <x:v>1249</x:v>
      </x:c>
      <x:c r="M71" s="18" t="n">
        <x:v>2699</x:v>
      </x:c>
      <x:c r="N71" s="18" t="n">
        <x:v>4064</x:v>
      </x:c>
      <x:c r="O71" s="16" t="n">
        <x:v>6</x:v>
      </x:c>
      <x:c r="P71" s="16" t="str">
        <x:v>No</x:v>
      </x:c>
      <x:c r="Q71" s="16" t="str">
        <x:v>Core</x:v>
      </x:c>
      <x:c r="R71" s="16" t="str">
        <x:v>Matches a priority Bed Studio category.</x:v>
      </x:c>
    </x:row>
    <x:row r="72" ht="34" customHeight="1">
      <x:c r="A72" s="16" t="str">
        <x:v>lunarest-nz-made-luxurious-mattress</x:v>
      </x:c>
      <x:c r="B72" s="16" t="str">
        <x:v>LunaRest NZ Made Luxurious Euro Top Mattress</x:v>
      </x:c>
      <x:c r="C72" s="16" t="str"/>
      <x:c r="D72" s="16" t="str">
        <x:v>Furniture &gt; Beds &amp; Accessories &gt; Mattresses</x:v>
      </x:c>
      <x:c r="E72" s="16" t="str">
        <x:v>Budget Beds</x:v>
      </x:c>
      <x:c r="F72" s="16" t="str">
        <x:v>1</x:v>
      </x:c>
      <x:c r="G72" s="16" t="str">
        <x:v>active</x:v>
      </x:c>
      <x:c r="H72" s="16" t="str">
        <x:v>Plush, Medium, Firm</x:v>
      </x:c>
      <x:c r="I72" s="16" t="str">
        <x:v>Side Sleeper, Side / Back / Belly Sleeper, Back Sleeper</x:v>
      </x:c>
      <x:c r="J72" s="16" t="str"/>
      <x:c r="K72" s="16" t="str">
        <x:v>Size: Single, King Single, Long Single, Double, Queen, King, Super King, California King | Feel: Plush, Medium, Firm</x:v>
      </x:c>
      <x:c r="L72" s="18" t="n">
        <x:v>1025</x:v>
      </x:c>
      <x:c r="M72" s="18" t="n">
        <x:v>2150</x:v>
      </x:c>
      <x:c r="N72" s="18" t="n">
        <x:v>2765</x:v>
      </x:c>
      <x:c r="O72" s="16" t="n">
        <x:v>7</x:v>
      </x:c>
      <x:c r="P72" s="16" t="str">
        <x:v>No</x:v>
      </x:c>
      <x:c r="Q72" s="16" t="str">
        <x:v>Core</x:v>
      </x:c>
      <x:c r="R72" s="16" t="str">
        <x:v>Matches a priority Bed Studio category.</x:v>
      </x:c>
    </x:row>
    <x:row r="73" ht="34" customHeight="1">
      <x:c r="A73" s="16" t="str">
        <x:v>mantra-headboard</x:v>
      </x:c>
      <x:c r="B73" s="16" t="str">
        <x:v>Mantra Headboard Single (NZ Made)</x:v>
      </x:c>
      <x:c r="C73" s="16" t="str">
        <x:v>HeadBoards</x:v>
      </x:c>
      <x:c r="D73" s="16" t="str">
        <x:v>Furniture &gt; Beds &amp; Accessories &gt; Headboards</x:v>
      </x:c>
      <x:c r="E73" s="16" t="str">
        <x:v>Budget Beds</x:v>
      </x:c>
      <x:c r="F73" s="16" t="str">
        <x:v>1</x:v>
      </x:c>
      <x:c r="G73" s="16" t="str">
        <x:v>active</x:v>
      </x:c>
      <x:c r="H73" s="16" t="str"/>
      <x:c r="I73" s="16" t="str"/>
      <x:c r="J73" s="16" t="str"/>
      <x:c r="K73" s="16" t="str">
        <x:v>Title: Default Title</x:v>
      </x:c>
      <x:c r="L73" s="18" t="n">
        <x:v>199</x:v>
      </x:c>
      <x:c r="M73" s="18" t="n">
        <x:v>199</x:v>
      </x:c>
      <x:c r="N73" s="18" t="n">
        <x:v>399</x:v>
      </x:c>
      <x:c r="O73" s="16" t="n">
        <x:v>7</x:v>
      </x:c>
      <x:c r="P73" s="16" t="str">
        <x:v>Yes</x:v>
      </x:c>
      <x:c r="Q73" s="16" t="str">
        <x:v>Core</x:v>
      </x:c>
      <x:c r="R73" s="16" t="str">
        <x:v>Matches a priority Bed Studio category.</x:v>
      </x:c>
    </x:row>
    <x:row r="74" ht="34" customHeight="1">
      <x:c r="A74" s="16" t="str">
        <x:v>mantra-headboard-california-king-nz-made</x:v>
      </x:c>
      <x:c r="B74" s="16" t="str">
        <x:v>Mantra Headboard California King (NZ Made)</x:v>
      </x:c>
      <x:c r="C74" s="16" t="str">
        <x:v>HeadBoards</x:v>
      </x:c>
      <x:c r="D74" s="16" t="str">
        <x:v>Furniture &gt; Beds &amp; Accessories &gt; Headboards</x:v>
      </x:c>
      <x:c r="E74" s="16" t="str">
        <x:v>Budget Beds</x:v>
      </x:c>
      <x:c r="F74" s="16" t="str">
        <x:v>1</x:v>
      </x:c>
      <x:c r="G74" s="16" t="str">
        <x:v>active</x:v>
      </x:c>
      <x:c r="H74" s="16" t="str"/>
      <x:c r="I74" s="16" t="str"/>
      <x:c r="J74" s="16" t="str"/>
      <x:c r="K74" s="16" t="str">
        <x:v>Title: Default Title</x:v>
      </x:c>
      <x:c r="L74" s="18" t="n">
        <x:v>449</x:v>
      </x:c>
      <x:c r="M74" s="18" t="n">
        <x:v>449</x:v>
      </x:c>
      <x:c r="N74" s="18" t="n">
        <x:v>899</x:v>
      </x:c>
      <x:c r="O74" s="16" t="n">
        <x:v>4</x:v>
      </x:c>
      <x:c r="P74" s="16" t="str">
        <x:v>Yes</x:v>
      </x:c>
      <x:c r="Q74" s="16" t="str">
        <x:v>Core</x:v>
      </x:c>
      <x:c r="R74" s="16" t="str">
        <x:v>Matches a priority Bed Studio category.</x:v>
      </x:c>
    </x:row>
    <x:row r="75" ht="34" customHeight="1">
      <x:c r="A75" s="16" t="str">
        <x:v>mantra-headboard-double-nz-made</x:v>
      </x:c>
      <x:c r="B75" s="16" t="str">
        <x:v>Mantra Headboard Double (NZ Made)</x:v>
      </x:c>
      <x:c r="C75" s="16" t="str">
        <x:v>HeadBoards</x:v>
      </x:c>
      <x:c r="D75" s="16" t="str">
        <x:v>Furniture &gt; Beds &amp; Accessories &gt; Headboards</x:v>
      </x:c>
      <x:c r="E75" s="16" t="str">
        <x:v>Budget Beds</x:v>
      </x:c>
      <x:c r="F75" s="16" t="str">
        <x:v>1</x:v>
      </x:c>
      <x:c r="G75" s="16" t="str">
        <x:v>active</x:v>
      </x:c>
      <x:c r="H75" s="16" t="str"/>
      <x:c r="I75" s="16" t="str"/>
      <x:c r="J75" s="16" t="str"/>
      <x:c r="K75" s="16" t="str">
        <x:v>Title: Default Title</x:v>
      </x:c>
      <x:c r="L75" s="18" t="n">
        <x:v>279</x:v>
      </x:c>
      <x:c r="M75" s="18" t="n">
        <x:v>279</x:v>
      </x:c>
      <x:c r="N75" s="18" t="n">
        <x:v>549</x:v>
      </x:c>
      <x:c r="O75" s="16" t="n">
        <x:v>7</x:v>
      </x:c>
      <x:c r="P75" s="16" t="str">
        <x:v>Yes</x:v>
      </x:c>
      <x:c r="Q75" s="16" t="str">
        <x:v>Core</x:v>
      </x:c>
      <x:c r="R75" s="16" t="str">
        <x:v>Matches a priority Bed Studio category.</x:v>
      </x:c>
    </x:row>
    <x:row r="76" ht="34" customHeight="1">
      <x:c r="A76" s="16" t="str">
        <x:v>mantra-headboard-king-nz-made</x:v>
      </x:c>
      <x:c r="B76" s="16" t="str">
        <x:v>Mantra Headboard King (NZ Made)</x:v>
      </x:c>
      <x:c r="C76" s="16" t="str">
        <x:v>HeadBoards</x:v>
      </x:c>
      <x:c r="D76" s="16" t="str">
        <x:v>Furniture &gt; Beds &amp; Accessories &gt; Headboards</x:v>
      </x:c>
      <x:c r="E76" s="16" t="str">
        <x:v>Budget Beds</x:v>
      </x:c>
      <x:c r="F76" s="16" t="str">
        <x:v>1</x:v>
      </x:c>
      <x:c r="G76" s="16" t="str">
        <x:v>active</x:v>
      </x:c>
      <x:c r="H76" s="16" t="str"/>
      <x:c r="I76" s="16" t="str"/>
      <x:c r="J76" s="16" t="str"/>
      <x:c r="K76" s="16" t="str">
        <x:v>Title: Default Title</x:v>
      </x:c>
      <x:c r="L76" s="18" t="n">
        <x:v>349</x:v>
      </x:c>
      <x:c r="M76" s="18" t="n">
        <x:v>349</x:v>
      </x:c>
      <x:c r="N76" s="18" t="n">
        <x:v>699</x:v>
      </x:c>
      <x:c r="O76" s="16" t="n">
        <x:v>7</x:v>
      </x:c>
      <x:c r="P76" s="16" t="str">
        <x:v>Yes</x:v>
      </x:c>
      <x:c r="Q76" s="16" t="str">
        <x:v>Core</x:v>
      </x:c>
      <x:c r="R76" s="16" t="str">
        <x:v>Matches a priority Bed Studio category.</x:v>
      </x:c>
    </x:row>
    <x:row r="77" ht="34" customHeight="1">
      <x:c r="A77" s="16" t="str">
        <x:v>mantra-headboard-king-single-nz-made</x:v>
      </x:c>
      <x:c r="B77" s="16" t="str">
        <x:v>Mantra Headboard King Single (NZ Made)</x:v>
      </x:c>
      <x:c r="C77" s="16" t="str">
        <x:v>HeadBoards</x:v>
      </x:c>
      <x:c r="D77" s="16" t="str">
        <x:v>Furniture &gt; Beds &amp; Accessories &gt; Headboards</x:v>
      </x:c>
      <x:c r="E77" s="16" t="str">
        <x:v>Budget Beds</x:v>
      </x:c>
      <x:c r="F77" s="16" t="str">
        <x:v>1</x:v>
      </x:c>
      <x:c r="G77" s="16" t="str">
        <x:v>active</x:v>
      </x:c>
      <x:c r="H77" s="16" t="str"/>
      <x:c r="I77" s="16" t="str"/>
      <x:c r="J77" s="16" t="str"/>
      <x:c r="K77" s="16" t="str">
        <x:v>Title: Default Title</x:v>
      </x:c>
      <x:c r="L77" s="18" t="n">
        <x:v>249</x:v>
      </x:c>
      <x:c r="M77" s="18" t="n">
        <x:v>249</x:v>
      </x:c>
      <x:c r="N77" s="18" t="n">
        <x:v>499</x:v>
      </x:c>
      <x:c r="O77" s="16" t="n">
        <x:v>7</x:v>
      </x:c>
      <x:c r="P77" s="16" t="str">
        <x:v>Yes</x:v>
      </x:c>
      <x:c r="Q77" s="16" t="str">
        <x:v>Core</x:v>
      </x:c>
      <x:c r="R77" s="16" t="str">
        <x:v>Matches a priority Bed Studio category.</x:v>
      </x:c>
    </x:row>
    <x:row r="78" ht="34" customHeight="1">
      <x:c r="A78" s="16" t="str">
        <x:v>mantra-headboard-queen-nz-made</x:v>
      </x:c>
      <x:c r="B78" s="16" t="str">
        <x:v>Mantra Headboard Queen (NZ Made)</x:v>
      </x:c>
      <x:c r="C78" s="16" t="str">
        <x:v>HeadBoards</x:v>
      </x:c>
      <x:c r="D78" s="16" t="str">
        <x:v>Furniture &gt; Beds &amp; Accessories &gt; Headboards</x:v>
      </x:c>
      <x:c r="E78" s="16" t="str">
        <x:v>Budget Beds</x:v>
      </x:c>
      <x:c r="F78" s="16" t="str">
        <x:v>1</x:v>
      </x:c>
      <x:c r="G78" s="16" t="str">
        <x:v>active</x:v>
      </x:c>
      <x:c r="H78" s="16" t="str"/>
      <x:c r="I78" s="16" t="str"/>
      <x:c r="J78" s="16" t="str"/>
      <x:c r="K78" s="16" t="str">
        <x:v>Title: Default Title</x:v>
      </x:c>
      <x:c r="L78" s="18" t="n">
        <x:v>299</x:v>
      </x:c>
      <x:c r="M78" s="18" t="n">
        <x:v>299</x:v>
      </x:c>
      <x:c r="N78" s="18" t="n">
        <x:v>599</x:v>
      </x:c>
      <x:c r="O78" s="16" t="n">
        <x:v>7</x:v>
      </x:c>
      <x:c r="P78" s="16" t="str">
        <x:v>Yes</x:v>
      </x:c>
      <x:c r="Q78" s="16" t="str">
        <x:v>Core</x:v>
      </x:c>
      <x:c r="R78" s="16" t="str">
        <x:v>Matches a priority Bed Studio category.</x:v>
      </x:c>
    </x:row>
    <x:row r="79" ht="34" customHeight="1">
      <x:c r="A79" s="16" t="str">
        <x:v>mantra-headboard-super-king-nz-made</x:v>
      </x:c>
      <x:c r="B79" s="16" t="str">
        <x:v>Mantra Headboard Super King (NZ Made)</x:v>
      </x:c>
      <x:c r="C79" s="16" t="str">
        <x:v>HeadBoards</x:v>
      </x:c>
      <x:c r="D79" s="16" t="str">
        <x:v>Furniture &gt; Beds &amp; Accessories &gt; Headboards</x:v>
      </x:c>
      <x:c r="E79" s="16" t="str">
        <x:v>Budget Beds</x:v>
      </x:c>
      <x:c r="F79" s="16" t="str">
        <x:v>1</x:v>
      </x:c>
      <x:c r="G79" s="16" t="str">
        <x:v>active</x:v>
      </x:c>
      <x:c r="H79" s="16" t="str"/>
      <x:c r="I79" s="16" t="str"/>
      <x:c r="J79" s="16" t="str"/>
      <x:c r="K79" s="16" t="str">
        <x:v>Title: Default Title</x:v>
      </x:c>
      <x:c r="L79" s="18" t="n">
        <x:v>399</x:v>
      </x:c>
      <x:c r="M79" s="18" t="n">
        <x:v>399</x:v>
      </x:c>
      <x:c r="N79" s="18" t="n">
        <x:v>799</x:v>
      </x:c>
      <x:c r="O79" s="16" t="n">
        <x:v>8</x:v>
      </x:c>
      <x:c r="P79" s="16" t="str">
        <x:v>Yes</x:v>
      </x:c>
      <x:c r="Q79" s="16" t="str">
        <x:v>Core</x:v>
      </x:c>
      <x:c r="R79" s="16" t="str">
        <x:v>Matches a priority Bed Studio category.</x:v>
      </x:c>
    </x:row>
    <x:row r="80" ht="34" customHeight="1">
      <x:c r="A80" s="16" t="str">
        <x:v>mira-headboard</x:v>
      </x:c>
      <x:c r="B80" s="16" t="str">
        <x:v>Mira Headboard Single (NZ Made)</x:v>
      </x:c>
      <x:c r="C80" s="16" t="str">
        <x:v>HeadBoards</x:v>
      </x:c>
      <x:c r="D80" s="16" t="str">
        <x:v>Furniture &gt; Beds &amp; Accessories &gt; Headboards</x:v>
      </x:c>
      <x:c r="E80" s="16" t="str">
        <x:v>Budget Beds</x:v>
      </x:c>
      <x:c r="F80" s="16" t="str">
        <x:v>1</x:v>
      </x:c>
      <x:c r="G80" s="16" t="str">
        <x:v>active</x:v>
      </x:c>
      <x:c r="H80" s="16" t="str"/>
      <x:c r="I80" s="16" t="str"/>
      <x:c r="J80" s="16" t="str"/>
      <x:c r="K80" s="16" t="str">
        <x:v>Title: Default Title</x:v>
      </x:c>
      <x:c r="L80" s="18" t="n">
        <x:v>249</x:v>
      </x:c>
      <x:c r="M80" s="18" t="n">
        <x:v>249</x:v>
      </x:c>
      <x:c r="N80" s="18" t="n">
        <x:v>499</x:v>
      </x:c>
      <x:c r="O80" s="16" t="n">
        <x:v>3</x:v>
      </x:c>
      <x:c r="P80" s="16" t="str">
        <x:v>Yes</x:v>
      </x:c>
      <x:c r="Q80" s="16" t="str">
        <x:v>Core</x:v>
      </x:c>
      <x:c r="R80" s="16" t="str">
        <x:v>Matches a priority Bed Studio category.</x:v>
      </x:c>
    </x:row>
    <x:row r="81" ht="34" customHeight="1">
      <x:c r="A81" s="16" t="str">
        <x:v>mira-headboard-california-king-nz-made</x:v>
      </x:c>
      <x:c r="B81" s="16" t="str">
        <x:v>Mira Headboard California King (NZ Made)</x:v>
      </x:c>
      <x:c r="C81" s="16" t="str">
        <x:v>HeadBoards</x:v>
      </x:c>
      <x:c r="D81" s="16" t="str">
        <x:v>Furniture &gt; Beds &amp; Accessories &gt; Headboards</x:v>
      </x:c>
      <x:c r="E81" s="16" t="str">
        <x:v>Budget Beds</x:v>
      </x:c>
      <x:c r="F81" s="16" t="str">
        <x:v>1</x:v>
      </x:c>
      <x:c r="G81" s="16" t="str">
        <x:v>active</x:v>
      </x:c>
      <x:c r="H81" s="16" t="str"/>
      <x:c r="I81" s="16" t="str"/>
      <x:c r="J81" s="16" t="str"/>
      <x:c r="K81" s="16" t="str">
        <x:v>Title: Default Title</x:v>
      </x:c>
      <x:c r="L81" s="18" t="n">
        <x:v>549</x:v>
      </x:c>
      <x:c r="M81" s="18" t="n">
        <x:v>549</x:v>
      </x:c>
      <x:c r="N81" s="18" t="n">
        <x:v>1099</x:v>
      </x:c>
      <x:c r="O81" s="16" t="n">
        <x:v>2</x:v>
      </x:c>
      <x:c r="P81" s="16" t="str">
        <x:v>Yes</x:v>
      </x:c>
      <x:c r="Q81" s="16" t="str">
        <x:v>Core</x:v>
      </x:c>
      <x:c r="R81" s="16" t="str">
        <x:v>Matches a priority Bed Studio category.</x:v>
      </x:c>
    </x:row>
    <x:row r="82" ht="34" customHeight="1">
      <x:c r="A82" s="16" t="str">
        <x:v>mira-headboard-double-nz-made</x:v>
      </x:c>
      <x:c r="B82" s="16" t="str">
        <x:v>Mira Headboard Double (NZ Made)</x:v>
      </x:c>
      <x:c r="C82" s="16" t="str">
        <x:v>HeadBoards</x:v>
      </x:c>
      <x:c r="D82" s="16" t="str">
        <x:v>Furniture &gt; Beds &amp; Accessories &gt; Headboards &amp; Footboards</x:v>
      </x:c>
      <x:c r="E82" s="16" t="str">
        <x:v>Budget Beds</x:v>
      </x:c>
      <x:c r="F82" s="16" t="str">
        <x:v>1</x:v>
      </x:c>
      <x:c r="G82" s="16" t="str">
        <x:v>active</x:v>
      </x:c>
      <x:c r="H82" s="16" t="str"/>
      <x:c r="I82" s="16" t="str"/>
      <x:c r="J82" s="16" t="str"/>
      <x:c r="K82" s="16" t="str">
        <x:v>Title: Default Title</x:v>
      </x:c>
      <x:c r="L82" s="18" t="n">
        <x:v>349</x:v>
      </x:c>
      <x:c r="M82" s="18" t="n">
        <x:v>349</x:v>
      </x:c>
      <x:c r="N82" s="18" t="n">
        <x:v>699</x:v>
      </x:c>
      <x:c r="O82" s="16" t="n">
        <x:v>2</x:v>
      </x:c>
      <x:c r="P82" s="16" t="str">
        <x:v>Yes</x:v>
      </x:c>
      <x:c r="Q82" s="16" t="str">
        <x:v>Core</x:v>
      </x:c>
      <x:c r="R82" s="16" t="str">
        <x:v>Matches a priority Bed Studio category.</x:v>
      </x:c>
    </x:row>
    <x:row r="83" ht="34" customHeight="1">
      <x:c r="A83" s="16" t="str">
        <x:v>mira-headboard-king-nz-made</x:v>
      </x:c>
      <x:c r="B83" s="16" t="str">
        <x:v>Mira Headboard King (NZ Made)</x:v>
      </x:c>
      <x:c r="C83" s="16" t="str">
        <x:v>HeadBoards</x:v>
      </x:c>
      <x:c r="D83" s="16" t="str">
        <x:v>Furniture &gt; Beds &amp; Accessories &gt; Headboards &amp; Footboards</x:v>
      </x:c>
      <x:c r="E83" s="16" t="str">
        <x:v>Budget Beds</x:v>
      </x:c>
      <x:c r="F83" s="16" t="str">
        <x:v>1</x:v>
      </x:c>
      <x:c r="G83" s="16" t="str">
        <x:v>active</x:v>
      </x:c>
      <x:c r="H83" s="16" t="str"/>
      <x:c r="I83" s="16" t="str"/>
      <x:c r="J83" s="16" t="str"/>
      <x:c r="K83" s="16" t="str">
        <x:v>Title: Default Title</x:v>
      </x:c>
      <x:c r="L83" s="18" t="n">
        <x:v>449</x:v>
      </x:c>
      <x:c r="M83" s="18" t="n">
        <x:v>449</x:v>
      </x:c>
      <x:c r="N83" s="18" t="n">
        <x:v>899</x:v>
      </x:c>
      <x:c r="O83" s="16" t="n">
        <x:v>3</x:v>
      </x:c>
      <x:c r="P83" s="16" t="str">
        <x:v>Yes</x:v>
      </x:c>
      <x:c r="Q83" s="16" t="str">
        <x:v>Core</x:v>
      </x:c>
      <x:c r="R83" s="16" t="str">
        <x:v>Matches a priority Bed Studio category.</x:v>
      </x:c>
    </x:row>
    <x:row r="84" ht="34" customHeight="1">
      <x:c r="A84" s="16" t="str">
        <x:v>mira-headboard-king-single-nz-made</x:v>
      </x:c>
      <x:c r="B84" s="16" t="str">
        <x:v>Mira Headboard King Single (NZ Made)</x:v>
      </x:c>
      <x:c r="C84" s="16" t="str">
        <x:v>HeadBoards</x:v>
      </x:c>
      <x:c r="D84" s="16" t="str">
        <x:v>Furniture &gt; Beds &amp; Accessories &gt; Headboards</x:v>
      </x:c>
      <x:c r="E84" s="16" t="str">
        <x:v>Budget Beds</x:v>
      </x:c>
      <x:c r="F84" s="16" t="str">
        <x:v>1</x:v>
      </x:c>
      <x:c r="G84" s="16" t="str">
        <x:v>active</x:v>
      </x:c>
      <x:c r="H84" s="16" t="str"/>
      <x:c r="I84" s="16" t="str"/>
      <x:c r="J84" s="16" t="str"/>
      <x:c r="K84" s="16" t="str">
        <x:v>Title: Default Title</x:v>
      </x:c>
      <x:c r="L84" s="18" t="n">
        <x:v>299</x:v>
      </x:c>
      <x:c r="M84" s="18" t="n">
        <x:v>299</x:v>
      </x:c>
      <x:c r="N84" s="18" t="n">
        <x:v>599</x:v>
      </x:c>
      <x:c r="O84" s="16" t="n">
        <x:v>5</x:v>
      </x:c>
      <x:c r="P84" s="16" t="str">
        <x:v>Yes</x:v>
      </x:c>
      <x:c r="Q84" s="16" t="str">
        <x:v>Core</x:v>
      </x:c>
      <x:c r="R84" s="16" t="str">
        <x:v>Matches a priority Bed Studio category.</x:v>
      </x:c>
    </x:row>
    <x:row r="85" ht="34" customHeight="1">
      <x:c r="A85" s="16" t="str">
        <x:v>mira-headboard-queen-nz-made-1</x:v>
      </x:c>
      <x:c r="B85" s="16" t="str">
        <x:v>Mira Headboard Queen (NZ Made)</x:v>
      </x:c>
      <x:c r="C85" s="16" t="str">
        <x:v>HeadBoards</x:v>
      </x:c>
      <x:c r="D85" s="16" t="str">
        <x:v>Furniture &gt; Beds &amp; Accessories &gt; Headboards &amp; Footboards</x:v>
      </x:c>
      <x:c r="E85" s="16" t="str">
        <x:v>Budget Beds</x:v>
      </x:c>
      <x:c r="F85" s="16" t="str">
        <x:v>1</x:v>
      </x:c>
      <x:c r="G85" s="16" t="str">
        <x:v>active</x:v>
      </x:c>
      <x:c r="H85" s="16" t="str"/>
      <x:c r="I85" s="16" t="str"/>
      <x:c r="J85" s="16" t="str"/>
      <x:c r="K85" s="16" t="str">
        <x:v>Title: Default Title</x:v>
      </x:c>
      <x:c r="L85" s="18" t="n">
        <x:v>399</x:v>
      </x:c>
      <x:c r="M85" s="18" t="n">
        <x:v>399</x:v>
      </x:c>
      <x:c r="N85" s="18" t="n">
        <x:v>799</x:v>
      </x:c>
      <x:c r="O85" s="16" t="n">
        <x:v>3</x:v>
      </x:c>
      <x:c r="P85" s="16" t="str">
        <x:v>Yes</x:v>
      </x:c>
      <x:c r="Q85" s="16" t="str">
        <x:v>Core</x:v>
      </x:c>
      <x:c r="R85" s="16" t="str">
        <x:v>Matches a priority Bed Studio category.</x:v>
      </x:c>
    </x:row>
    <x:row r="86" ht="34" customHeight="1">
      <x:c r="A86" s="16" t="str">
        <x:v>mira-headboard-super-king-nz-made</x:v>
      </x:c>
      <x:c r="B86" s="16" t="str">
        <x:v>Mira Headboard Super King (NZ Made)</x:v>
      </x:c>
      <x:c r="C86" s="16" t="str">
        <x:v>HeadBoards</x:v>
      </x:c>
      <x:c r="D86" s="16" t="str">
        <x:v>Furniture &gt; Beds &amp; Accessories &gt; Headboards</x:v>
      </x:c>
      <x:c r="E86" s="16" t="str">
        <x:v>Budget Beds</x:v>
      </x:c>
      <x:c r="F86" s="16" t="str">
        <x:v>1</x:v>
      </x:c>
      <x:c r="G86" s="16" t="str">
        <x:v>active</x:v>
      </x:c>
      <x:c r="H86" s="16" t="str"/>
      <x:c r="I86" s="16" t="str"/>
      <x:c r="J86" s="16" t="str"/>
      <x:c r="K86" s="16" t="str">
        <x:v>Title: Default Title</x:v>
      </x:c>
      <x:c r="L86" s="18" t="n">
        <x:v>499</x:v>
      </x:c>
      <x:c r="M86" s="18" t="n">
        <x:v>499</x:v>
      </x:c>
      <x:c r="N86" s="18" t="n">
        <x:v>999</x:v>
      </x:c>
      <x:c r="O86" s="16" t="n">
        <x:v>2</x:v>
      </x:c>
      <x:c r="P86" s="16" t="str">
        <x:v>Yes</x:v>
      </x:c>
      <x:c r="Q86" s="16" t="str">
        <x:v>Core</x:v>
      </x:c>
      <x:c r="R86" s="16" t="str">
        <x:v>Matches a priority Bed Studio category.</x:v>
      </x:c>
    </x:row>
    <x:row r="87" ht="34" customHeight="1">
      <x:c r="A87" s="16" t="str">
        <x:v>monza-headboard</x:v>
      </x:c>
      <x:c r="B87" s="16" t="str">
        <x:v>Monza Headboard Single (NZ Made)</x:v>
      </x:c>
      <x:c r="C87" s="16" t="str">
        <x:v>HeadBoards</x:v>
      </x:c>
      <x:c r="D87" s="16" t="str">
        <x:v>Furniture &gt; Beds &amp; Accessories &gt; Headboards</x:v>
      </x:c>
      <x:c r="E87" s="16" t="str">
        <x:v>Budget Beds</x:v>
      </x:c>
      <x:c r="F87" s="16" t="str">
        <x:v>1</x:v>
      </x:c>
      <x:c r="G87" s="16" t="str">
        <x:v>active</x:v>
      </x:c>
      <x:c r="H87" s="16" t="str"/>
      <x:c r="I87" s="16" t="str"/>
      <x:c r="J87" s="16" t="str"/>
      <x:c r="K87" s="16" t="str">
        <x:v>Title: Default Title</x:v>
      </x:c>
      <x:c r="L87" s="18" t="n">
        <x:v>199</x:v>
      </x:c>
      <x:c r="M87" s="18" t="n">
        <x:v>199</x:v>
      </x:c>
      <x:c r="N87" s="18" t="n">
        <x:v>399</x:v>
      </x:c>
      <x:c r="O87" s="16" t="n">
        <x:v>4</x:v>
      </x:c>
      <x:c r="P87" s="16" t="str">
        <x:v>Yes</x:v>
      </x:c>
      <x:c r="Q87" s="16" t="str">
        <x:v>Core</x:v>
      </x:c>
      <x:c r="R87" s="16" t="str">
        <x:v>Matches a priority Bed Studio category.</x:v>
      </x:c>
    </x:row>
    <x:row r="88" ht="34" customHeight="1">
      <x:c r="A88" s="16" t="str">
        <x:v>nz-made</x:v>
      </x:c>
      <x:c r="B88" s="16" t="str">
        <x:v>DreamNest NZ Made Quality Mattress</x:v>
      </x:c>
      <x:c r="C88" s="16" t="str"/>
      <x:c r="D88" s="16" t="str">
        <x:v>Furniture &gt; Beds &amp; Accessories &gt; Mattresses</x:v>
      </x:c>
      <x:c r="E88" s="16" t="str">
        <x:v>Budget Beds</x:v>
      </x:c>
      <x:c r="F88" s="16" t="str">
        <x:v>1</x:v>
      </x:c>
      <x:c r="G88" s="16" t="str">
        <x:v>active</x:v>
      </x:c>
      <x:c r="H88" s="16" t="str">
        <x:v>Plush, Medium, Firm</x:v>
      </x:c>
      <x:c r="I88" s="16" t="str">
        <x:v>Side Sleeper, Side / Back / Belly Sleeper, Back Sleeper</x:v>
      </x:c>
      <x:c r="J88" s="16" t="str"/>
      <x:c r="K88" s="16" t="str">
        <x:v>Mattress Size: Single, Long Single, King Single, Double, Queen, King, Super King, California King | Feel: Plush / Soft Feel, Medium, Firm</x:v>
      </x:c>
      <x:c r="L88" s="18" t="n">
        <x:v>699</x:v>
      </x:c>
      <x:c r="M88" s="18" t="n">
        <x:v>1599</x:v>
      </x:c>
      <x:c r="N88" s="18" t="n">
        <x:v>2649</x:v>
      </x:c>
      <x:c r="O88" s="16" t="n">
        <x:v>6</x:v>
      </x:c>
      <x:c r="P88" s="16" t="str">
        <x:v>No</x:v>
      </x:c>
      <x:c r="Q88" s="16" t="str">
        <x:v>Core</x:v>
      </x:c>
      <x:c r="R88" s="16" t="str">
        <x:v>Matches a priority Bed Studio category.</x:v>
      </x:c>
    </x:row>
    <x:row r="89" ht="34" customHeight="1">
      <x:c r="A89" s="16" t="str">
        <x:v>nz-made-fabric-lounge-suite-atlantic</x:v>
      </x:c>
      <x:c r="B89" s="16" t="str">
        <x:v>NZ Made Fabric Lounge Suite - Atlantic</x:v>
      </x:c>
      <x:c r="C89" s="16" t="str"/>
      <x:c r="D89" s="16" t="str">
        <x:v>Furniture &gt; Sofas &gt; Sectional Sofas</x:v>
      </x:c>
      <x:c r="E89" s="16" t="str">
        <x:v>Budget Beds</x:v>
      </x:c>
      <x:c r="F89" s="16" t="str">
        <x:v>1</x:v>
      </x:c>
      <x:c r="G89" s="16" t="str">
        <x:v>active</x:v>
      </x:c>
      <x:c r="H89" s="16" t="str"/>
      <x:c r="I89" s="16" t="str"/>
      <x:c r="J89" s="16" t="str"/>
      <x:c r="K89" s="16" t="str">
        <x:v>With Or Without Ottoman: Without Ottoman, With Ottoman</x:v>
      </x:c>
      <x:c r="L89" s="18" t="n">
        <x:v>2199</x:v>
      </x:c>
      <x:c r="M89" s="18" t="n">
        <x:v>2549</x:v>
      </x:c>
      <x:c r="N89" s="18"/>
      <x:c r="O89" s="16" t="n">
        <x:v>6</x:v>
      </x:c>
      <x:c r="P89" s="16" t="str">
        <x:v>Yes</x:v>
      </x:c>
      <x:c r="Q89" s="16" t="str">
        <x:v>Exclude / archive candidate</x:v>
      </x:c>
      <x:c r="R89" s="16" t="str">
        <x:v>Off-position for the premium bed and mattress launch; client review required.</x:v>
      </x:c>
    </x:row>
    <x:row r="90" ht="34" customHeight="1">
      <x:c r="A90" s="16" t="str">
        <x:v>nz-made-fabric-lounge-suite-nelson</x:v>
      </x:c>
      <x:c r="B90" s="16" t="str">
        <x:v>NZ Made Fabric Lounge Suite - Nelson</x:v>
      </x:c>
      <x:c r="C90" s="16" t="str"/>
      <x:c r="D90" s="16" t="str">
        <x:v>Furniture &gt; Furniture Sets &gt; Living Room Furniture Sets</x:v>
      </x:c>
      <x:c r="E90" s="16" t="str">
        <x:v>Budget Beds</x:v>
      </x:c>
      <x:c r="F90" s="16" t="str">
        <x:v>1</x:v>
      </x:c>
      <x:c r="G90" s="16" t="str">
        <x:v>active</x:v>
      </x:c>
      <x:c r="H90" s="16" t="str"/>
      <x:c r="I90" s="16" t="str"/>
      <x:c r="J90" s="16" t="str"/>
      <x:c r="K90" s="16" t="str">
        <x:v>Seater: 3+2, 3+2+1, 3+1+1, 3 Seater, 2 Seater, 1 Seater, Ottoman</x:v>
      </x:c>
      <x:c r="L90" s="18" t="n">
        <x:v>299</x:v>
      </x:c>
      <x:c r="M90" s="18" t="n">
        <x:v>2420</x:v>
      </x:c>
      <x:c r="N90" s="18"/>
      <x:c r="O90" s="16" t="n">
        <x:v>7</x:v>
      </x:c>
      <x:c r="P90" s="16" t="str">
        <x:v>Yes</x:v>
      </x:c>
      <x:c r="Q90" s="16" t="str">
        <x:v>Exclude / archive candidate</x:v>
      </x:c>
      <x:c r="R90" s="16" t="str">
        <x:v>Off-position for the premium bed and mattress launch; client review required.</x:v>
      </x:c>
    </x:row>
    <x:row r="91" ht="34" customHeight="1">
      <x:c r="A91" s="16" t="str">
        <x:v>nz-made-fabric-lounge-suite-nemo</x:v>
      </x:c>
      <x:c r="B91" s="16" t="str">
        <x:v>NZ Made Fabric Lounge Suite - Nemo</x:v>
      </x:c>
      <x:c r="C91" s="16" t="str"/>
      <x:c r="D91" s="16" t="str">
        <x:v>Furniture &gt; Furniture Sets &gt; Living Room Furniture Sets</x:v>
      </x:c>
      <x:c r="E91" s="16" t="str">
        <x:v>Budget Beds</x:v>
      </x:c>
      <x:c r="F91" s="16" t="str">
        <x:v>1</x:v>
      </x:c>
      <x:c r="G91" s="16" t="str">
        <x:v>active</x:v>
      </x:c>
      <x:c r="H91" s="16" t="str"/>
      <x:c r="I91" s="16" t="str"/>
      <x:c r="J91" s="16" t="str"/>
      <x:c r="K91" s="16" t="str">
        <x:v>Seater: 3+2 Seater, 3+2+1 Seater, 3+1+1 Seater, 3 Seater, 2 Seater, 1 Seater</x:v>
      </x:c>
      <x:c r="L91" s="18" t="n">
        <x:v>299</x:v>
      </x:c>
      <x:c r="M91" s="18" t="n">
        <x:v>1120</x:v>
      </x:c>
      <x:c r="N91" s="18" t="n">
        <x:v>898</x:v>
      </x:c>
      <x:c r="O91" s="16" t="n">
        <x:v>7</x:v>
      </x:c>
      <x:c r="P91" s="16" t="str">
        <x:v>Yes</x:v>
      </x:c>
      <x:c r="Q91" s="16" t="str">
        <x:v>Exclude / archive candidate</x:v>
      </x:c>
      <x:c r="R91" s="16" t="str">
        <x:v>Off-position for the premium bed and mattress launch; client review required.</x:v>
      </x:c>
    </x:row>
    <x:row r="92" ht="34" customHeight="1">
      <x:c r="A92" s="16" t="str">
        <x:v>nz-made-super-king-split-storage-bed-base-with-gas-lift</x:v>
      </x:c>
      <x:c r="B92" s="16" t="str">
        <x:v>NZ Made Super King Split Storage Bed Base</x:v>
      </x:c>
      <x:c r="C92" s="16" t="str">
        <x:v>Bed Bases</x:v>
      </x:c>
      <x:c r="D92" s="16" t="str">
        <x:v>Furniture &gt; Beds &amp; Accessories &gt; Beds &amp; Bed Frames</x:v>
      </x:c>
      <x:c r="E92" s="16" t="str">
        <x:v>Budget Beds</x:v>
      </x:c>
      <x:c r="F92" s="16" t="str">
        <x:v>1</x:v>
      </x:c>
      <x:c r="G92" s="16" t="str">
        <x:v>active</x:v>
      </x:c>
      <x:c r="H92" s="16" t="str"/>
      <x:c r="I92" s="16" t="str"/>
      <x:c r="J92" s="16" t="str"/>
      <x:c r="K92" s="16" t="str">
        <x:v>Title: Default Title</x:v>
      </x:c>
      <x:c r="L92" s="18" t="n">
        <x:v>1249</x:v>
      </x:c>
      <x:c r="M92" s="18" t="n">
        <x:v>1249</x:v>
      </x:c>
      <x:c r="N92" s="18" t="n">
        <x:v>2499</x:v>
      </x:c>
      <x:c r="O92" s="16" t="n">
        <x:v>6</x:v>
      </x:c>
      <x:c r="P92" s="16" t="str">
        <x:v>Yes</x:v>
      </x:c>
      <x:c r="Q92" s="16" t="str">
        <x:v>Core</x:v>
      </x:c>
      <x:c r="R92" s="16" t="str">
        <x:v>Matches a priority Bed Studio category.</x:v>
      </x:c>
    </x:row>
    <x:row r="93" ht="34" customHeight="1">
      <x:c r="A93" s="16" t="str">
        <x:v>posture-care-support-medium-bed-king</x:v>
      </x:c>
      <x:c r="B93" s="16" t="str">
        <x:v>Posture Care Support (Medium) Mattress &amp; Base - King</x:v>
      </x:c>
      <x:c r="C93" s="16" t="str">
        <x:v>Beds &amp; Bed Frames</x:v>
      </x:c>
      <x:c r="D93" s="16" t="str">
        <x:v>Furniture &gt; Beds &amp; Accessories &gt; Mattresses &gt; Innerspring Mattresses</x:v>
      </x:c>
      <x:c r="E93" s="16" t="str">
        <x:v>Budget Beds</x:v>
      </x:c>
      <x:c r="F93" s="16" t="str">
        <x:v>1</x:v>
      </x:c>
      <x:c r="G93" s="16" t="str">
        <x:v>active</x:v>
      </x:c>
      <x:c r="H93" s="16" t="str">
        <x:v>Medium</x:v>
      </x:c>
      <x:c r="I93" s="16" t="str">
        <x:v>Side / Back / Belly Sleeper</x:v>
      </x:c>
      <x:c r="J93" s="16" t="str"/>
      <x:c r="K93" s="16" t="str">
        <x:v>Title: Default Title</x:v>
      </x:c>
      <x:c r="L93" s="18" t="n">
        <x:v>1269</x:v>
      </x:c>
      <x:c r="M93" s="18" t="n">
        <x:v>1269</x:v>
      </x:c>
      <x:c r="N93" s="18" t="n">
        <x:v>2650</x:v>
      </x:c>
      <x:c r="O93" s="16" t="n">
        <x:v>7</x:v>
      </x:c>
      <x:c r="P93" s="16" t="str">
        <x:v>Yes</x:v>
      </x:c>
      <x:c r="Q93" s="16" t="str">
        <x:v>Core</x:v>
      </x:c>
      <x:c r="R93" s="16" t="str">
        <x:v>Matches a priority Bed Studio category.</x:v>
      </x:c>
    </x:row>
    <x:row r="94" ht="34" customHeight="1">
      <x:c r="A94" s="16" t="str">
        <x:v>posture-care-support-medium-bed-super-king</x:v>
      </x:c>
      <x:c r="B94" s="16" t="str">
        <x:v>Posture Care Support (Medium) Mattress &amp; Base - Super King</x:v>
      </x:c>
      <x:c r="C94" s="16" t="str">
        <x:v>Beds &amp; Bed Frames</x:v>
      </x:c>
      <x:c r="D94" s="16" t="str">
        <x:v>Furniture &gt; Beds &amp; Accessories &gt; Mattresses &gt; Innerspring Mattresses</x:v>
      </x:c>
      <x:c r="E94" s="16" t="str">
        <x:v>Budget Beds</x:v>
      </x:c>
      <x:c r="F94" s="16" t="str">
        <x:v>1</x:v>
      </x:c>
      <x:c r="G94" s="16" t="str">
        <x:v>active</x:v>
      </x:c>
      <x:c r="H94" s="16" t="str">
        <x:v>Medium</x:v>
      </x:c>
      <x:c r="I94" s="16" t="str">
        <x:v>Side / Back / Belly Sleeper</x:v>
      </x:c>
      <x:c r="J94" s="16" t="str"/>
      <x:c r="K94" s="16" t="str">
        <x:v>Title: Default Title</x:v>
      </x:c>
      <x:c r="L94" s="18" t="n">
        <x:v>1399</x:v>
      </x:c>
      <x:c r="M94" s="18" t="n">
        <x:v>1399</x:v>
      </x:c>
      <x:c r="N94" s="18" t="n">
        <x:v>3398</x:v>
      </x:c>
      <x:c r="O94" s="16" t="n">
        <x:v>7</x:v>
      </x:c>
      <x:c r="P94" s="16" t="str">
        <x:v>Yes</x:v>
      </x:c>
      <x:c r="Q94" s="16" t="str">
        <x:v>Core</x:v>
      </x:c>
      <x:c r="R94" s="16" t="str">
        <x:v>Matches a priority Bed Studio category.</x:v>
      </x:c>
    </x:row>
    <x:row r="95" ht="34" customHeight="1">
      <x:c r="A95" s="16" t="str">
        <x:v>posture-care-support-medium-mattress-base-double</x:v>
      </x:c>
      <x:c r="B95" s="16" t="str">
        <x:v>Posture Care Support (Medium) Mattress &amp; Base - Double</x:v>
      </x:c>
      <x:c r="C95" s="16" t="str">
        <x:v>Beds</x:v>
      </x:c>
      <x:c r="D95" s="16" t="str">
        <x:v>Furniture &gt; Beds &amp; Accessories &gt; Mattresses &gt; Innerspring Mattresses</x:v>
      </x:c>
      <x:c r="E95" s="16" t="str">
        <x:v>Budget Beds</x:v>
      </x:c>
      <x:c r="F95" s="16" t="str">
        <x:v>1</x:v>
      </x:c>
      <x:c r="G95" s="16" t="str">
        <x:v>active</x:v>
      </x:c>
      <x:c r="H95" s="16" t="str">
        <x:v>Medium</x:v>
      </x:c>
      <x:c r="I95" s="16" t="str">
        <x:v>Side / Back / Belly Sleeper</x:v>
      </x:c>
      <x:c r="J95" s="16" t="str"/>
      <x:c r="K95" s="16" t="str">
        <x:v>Title: Default Title</x:v>
      </x:c>
      <x:c r="L95" s="18" t="n">
        <x:v>849</x:v>
      </x:c>
      <x:c r="M95" s="18" t="n">
        <x:v>849</x:v>
      </x:c>
      <x:c r="N95" s="18" t="n">
        <x:v>1799</x:v>
      </x:c>
      <x:c r="O95" s="16" t="n">
        <x:v>5</x:v>
      </x:c>
      <x:c r="P95" s="16" t="str">
        <x:v>Yes</x:v>
      </x:c>
      <x:c r="Q95" s="16" t="str">
        <x:v>Core</x:v>
      </x:c>
      <x:c r="R95" s="16" t="str">
        <x:v>Matches a priority Bed Studio category.</x:v>
      </x:c>
    </x:row>
    <x:row r="96" ht="34" customHeight="1">
      <x:c r="A96" s="16" t="str">
        <x:v>posture-care-support-medium-mattress-base-king-single</x:v>
      </x:c>
      <x:c r="B96" s="16" t="str">
        <x:v>Posture Care Support (Medium) Mattress &amp; Base - King Single</x:v>
      </x:c>
      <x:c r="C96" s="16" t="str">
        <x:v>Beds</x:v>
      </x:c>
      <x:c r="D96" s="16" t="str">
        <x:v>Furniture &gt; Beds &amp; Accessories &gt; Mattresses &gt; Innerspring Mattresses</x:v>
      </x:c>
      <x:c r="E96" s="16" t="str">
        <x:v>Budget Beds</x:v>
      </x:c>
      <x:c r="F96" s="16" t="str">
        <x:v>1</x:v>
      </x:c>
      <x:c r="G96" s="16" t="str">
        <x:v>active</x:v>
      </x:c>
      <x:c r="H96" s="16" t="str">
        <x:v>Medium</x:v>
      </x:c>
      <x:c r="I96" s="16" t="str">
        <x:v>Side / Back / Belly Sleeper</x:v>
      </x:c>
      <x:c r="J96" s="16" t="str"/>
      <x:c r="K96" s="16" t="str">
        <x:v>Title: Default Title</x:v>
      </x:c>
      <x:c r="L96" s="18" t="n">
        <x:v>785</x:v>
      </x:c>
      <x:c r="M96" s="18" t="n">
        <x:v>785</x:v>
      </x:c>
      <x:c r="N96" s="18" t="n">
        <x:v>1399</x:v>
      </x:c>
      <x:c r="O96" s="16" t="n">
        <x:v>6</x:v>
      </x:c>
      <x:c r="P96" s="16" t="str">
        <x:v>Yes</x:v>
      </x:c>
      <x:c r="Q96" s="16" t="str">
        <x:v>Core</x:v>
      </x:c>
      <x:c r="R96" s="16" t="str">
        <x:v>Matches a priority Bed Studio category.</x:v>
      </x:c>
    </x:row>
    <x:row r="97" ht="34" customHeight="1">
      <x:c r="A97" s="16" t="str">
        <x:v>posture-care-support-medium-mattress-double</x:v>
      </x:c>
      <x:c r="B97" s="16" t="str">
        <x:v>Posture Care Support (Medium) Mattress - Double</x:v>
      </x:c>
      <x:c r="C97" s="16" t="str">
        <x:v>Mattresses</x:v>
      </x:c>
      <x:c r="D97" s="16" t="str">
        <x:v>Furniture &gt; Beds &amp; Accessories &gt; Mattresses &gt; Innerspring Mattresses</x:v>
      </x:c>
      <x:c r="E97" s="16" t="str">
        <x:v>Budget Beds</x:v>
      </x:c>
      <x:c r="F97" s="16" t="str">
        <x:v>1</x:v>
      </x:c>
      <x:c r="G97" s="16" t="str">
        <x:v>active</x:v>
      </x:c>
      <x:c r="H97" s="16" t="str">
        <x:v>Medium</x:v>
      </x:c>
      <x:c r="I97" s="16" t="str">
        <x:v>Side / Back / Belly Sleeper</x:v>
      </x:c>
      <x:c r="J97" s="16" t="str"/>
      <x:c r="K97" s="16" t="str">
        <x:v>Title: Default Title</x:v>
      </x:c>
      <x:c r="L97" s="18" t="n">
        <x:v>665</x:v>
      </x:c>
      <x:c r="M97" s="18" t="n">
        <x:v>665</x:v>
      </x:c>
      <x:c r="N97" s="18" t="n">
        <x:v>1699</x:v>
      </x:c>
      <x:c r="O97" s="16" t="n">
        <x:v>5</x:v>
      </x:c>
      <x:c r="P97" s="16" t="str">
        <x:v>Yes</x:v>
      </x:c>
      <x:c r="Q97" s="16" t="str">
        <x:v>Core</x:v>
      </x:c>
      <x:c r="R97" s="16" t="str">
        <x:v>Matches a priority Bed Studio category.</x:v>
      </x:c>
    </x:row>
    <x:row r="98" ht="34" customHeight="1">
      <x:c r="A98" s="16" t="str">
        <x:v>posture-care-support-medium-mattress-king</x:v>
      </x:c>
      <x:c r="B98" s="16" t="str">
        <x:v>Posture Care Support (Medium) Mattress - King</x:v>
      </x:c>
      <x:c r="C98" s="16" t="str">
        <x:v>Mattresses</x:v>
      </x:c>
      <x:c r="D98" s="16" t="str">
        <x:v>Furniture &gt; Beds &amp; Accessories &gt; Mattresses &gt; Innerspring Mattresses</x:v>
      </x:c>
      <x:c r="E98" s="16" t="str">
        <x:v>Budget Beds</x:v>
      </x:c>
      <x:c r="F98" s="16" t="str">
        <x:v>1</x:v>
      </x:c>
      <x:c r="G98" s="16" t="str">
        <x:v>active</x:v>
      </x:c>
      <x:c r="H98" s="16" t="str">
        <x:v>Medium</x:v>
      </x:c>
      <x:c r="I98" s="16" t="str">
        <x:v>Side / Back / Belly Sleeper</x:v>
      </x:c>
      <x:c r="J98" s="16" t="str"/>
      <x:c r="K98" s="16" t="str">
        <x:v>Title: Default Title</x:v>
      </x:c>
      <x:c r="L98" s="18" t="n">
        <x:v>829</x:v>
      </x:c>
      <x:c r="M98" s="18" t="n">
        <x:v>829</x:v>
      </x:c>
      <x:c r="N98" s="18" t="n">
        <x:v>2199</x:v>
      </x:c>
      <x:c r="O98" s="16" t="n">
        <x:v>4</x:v>
      </x:c>
      <x:c r="P98" s="16" t="str">
        <x:v>Yes</x:v>
      </x:c>
      <x:c r="Q98" s="16" t="str">
        <x:v>Core</x:v>
      </x:c>
      <x:c r="R98" s="16" t="str">
        <x:v>Matches a priority Bed Studio category.</x:v>
      </x:c>
    </x:row>
    <x:row r="99" ht="34" customHeight="1">
      <x:c r="A99" s="16" t="str">
        <x:v>posture-care-support-medium-mattress-king-single</x:v>
      </x:c>
      <x:c r="B99" s="16" t="str">
        <x:v>Posture Care Support (Medium) Mattress - King Single</x:v>
      </x:c>
      <x:c r="C99" s="16" t="str">
        <x:v>Mattresses</x:v>
      </x:c>
      <x:c r="D99" s="16" t="str">
        <x:v>Furniture &gt; Beds &amp; Accessories &gt; Mattresses &gt; Innerspring Mattresses</x:v>
      </x:c>
      <x:c r="E99" s="16" t="str">
        <x:v>Budget Beds</x:v>
      </x:c>
      <x:c r="F99" s="16" t="str">
        <x:v>1</x:v>
      </x:c>
      <x:c r="G99" s="16" t="str">
        <x:v>active</x:v>
      </x:c>
      <x:c r="H99" s="16" t="str">
        <x:v>Medium</x:v>
      </x:c>
      <x:c r="I99" s="16" t="str">
        <x:v>Side / Back / Belly Sleeper</x:v>
      </x:c>
      <x:c r="J99" s="16" t="str"/>
      <x:c r="K99" s="16" t="str">
        <x:v>Title: Default Title</x:v>
      </x:c>
      <x:c r="L99" s="18" t="n">
        <x:v>599</x:v>
      </x:c>
      <x:c r="M99" s="18" t="n">
        <x:v>599</x:v>
      </x:c>
      <x:c r="N99" s="18" t="n">
        <x:v>1199</x:v>
      </x:c>
      <x:c r="O99" s="16" t="n">
        <x:v>6</x:v>
      </x:c>
      <x:c r="P99" s="16" t="str">
        <x:v>Yes</x:v>
      </x:c>
      <x:c r="Q99" s="16" t="str">
        <x:v>Core</x:v>
      </x:c>
      <x:c r="R99" s="16" t="str">
        <x:v>Matches a priority Bed Studio category.</x:v>
      </x:c>
    </x:row>
    <x:row r="100" ht="34" customHeight="1">
      <x:c r="A100" s="16" t="str">
        <x:v>posture-care-support-medium-mattress-queen</x:v>
      </x:c>
      <x:c r="B100" s="16" t="str">
        <x:v>Posture Care Support (Medium) Mattress - Queen</x:v>
      </x:c>
      <x:c r="C100" s="16" t="str">
        <x:v>Mattresses</x:v>
      </x:c>
      <x:c r="D100" s="16" t="str">
        <x:v>Furniture &gt; Beds &amp; Accessories &gt; Mattresses</x:v>
      </x:c>
      <x:c r="E100" s="16" t="str">
        <x:v>Budget Beds</x:v>
      </x:c>
      <x:c r="F100" s="16" t="str">
        <x:v>1</x:v>
      </x:c>
      <x:c r="G100" s="16" t="str">
        <x:v>active</x:v>
      </x:c>
      <x:c r="H100" s="16" t="str">
        <x:v>Medium</x:v>
      </x:c>
      <x:c r="I100" s="16" t="str">
        <x:v>Side / Back / Belly Sleeper</x:v>
      </x:c>
      <x:c r="J100" s="16" t="str"/>
      <x:c r="K100" s="16" t="str">
        <x:v>Title: Default Title</x:v>
      </x:c>
      <x:c r="L100" s="18" t="n">
        <x:v>799</x:v>
      </x:c>
      <x:c r="M100" s="18" t="n">
        <x:v>799</x:v>
      </x:c>
      <x:c r="N100" s="18" t="n">
        <x:v>1799</x:v>
      </x:c>
      <x:c r="O100" s="16" t="n">
        <x:v>5</x:v>
      </x:c>
      <x:c r="P100" s="16" t="str">
        <x:v>Yes</x:v>
      </x:c>
      <x:c r="Q100" s="16" t="str">
        <x:v>Core</x:v>
      </x:c>
      <x:c r="R100" s="16" t="str">
        <x:v>Matches a priority Bed Studio category.</x:v>
      </x:c>
    </x:row>
    <x:row r="101" ht="34" customHeight="1">
      <x:c r="A101" s="16" t="str">
        <x:v>posture-care-support-medium-mattress-super-king</x:v>
      </x:c>
      <x:c r="B101" s="16" t="str">
        <x:v>Posture Care Support (Medium) Mattress - Super King</x:v>
      </x:c>
      <x:c r="C101" s="16" t="str">
        <x:v>Mattresses</x:v>
      </x:c>
      <x:c r="D101" s="16" t="str">
        <x:v>Furniture &gt; Beds &amp; Accessories &gt; Mattresses &gt; Innerspring Mattresses</x:v>
      </x:c>
      <x:c r="E101" s="16" t="str">
        <x:v>Budget Beds</x:v>
      </x:c>
      <x:c r="F101" s="16" t="str">
        <x:v>1</x:v>
      </x:c>
      <x:c r="G101" s="16" t="str">
        <x:v>active</x:v>
      </x:c>
      <x:c r="H101" s="16" t="str">
        <x:v>Medium</x:v>
      </x:c>
      <x:c r="I101" s="16" t="str">
        <x:v>Side / Back / Belly Sleeper</x:v>
      </x:c>
      <x:c r="J101" s="16" t="str"/>
      <x:c r="K101" s="16" t="str">
        <x:v>Title: Default Title</x:v>
      </x:c>
      <x:c r="L101" s="18" t="n">
        <x:v>899</x:v>
      </x:c>
      <x:c r="M101" s="18" t="n">
        <x:v>899</x:v>
      </x:c>
      <x:c r="N101" s="18" t="n">
        <x:v>2199</x:v>
      </x:c>
      <x:c r="O101" s="16" t="n">
        <x:v>5</x:v>
      </x:c>
      <x:c r="P101" s="16" t="str">
        <x:v>Yes</x:v>
      </x:c>
      <x:c r="Q101" s="16" t="str">
        <x:v>Core</x:v>
      </x:c>
      <x:c r="R101" s="16" t="str">
        <x:v>Matches a priority Bed Studio category.</x:v>
      </x:c>
    </x:row>
    <x:row r="102" ht="34" customHeight="1">
      <x:c r="A102" s="16" t="str">
        <x:v>posture-care-support-plush-bed-queen</x:v>
      </x:c>
      <x:c r="B102" s="16" t="str">
        <x:v>Posture Care Support (Plush) Mattress &amp; Base - Queen</x:v>
      </x:c>
      <x:c r="C102" s="16" t="str">
        <x:v>Beds &amp; Bed Frames</x:v>
      </x:c>
      <x:c r="D102" s="16" t="str">
        <x:v>Furniture &gt; Beds &amp; Accessories &gt; Mattresses &gt; Innerspring Mattresses</x:v>
      </x:c>
      <x:c r="E102" s="16" t="str">
        <x:v>Budget Beds</x:v>
      </x:c>
      <x:c r="F102" s="16" t="str">
        <x:v>1</x:v>
      </x:c>
      <x:c r="G102" s="16" t="str">
        <x:v>active</x:v>
      </x:c>
      <x:c r="H102" s="16" t="str">
        <x:v>Plush</x:v>
      </x:c>
      <x:c r="I102" s="16" t="str">
        <x:v>Side Sleeper</x:v>
      </x:c>
      <x:c r="J102" s="16" t="str"/>
      <x:c r="K102" s="16" t="str">
        <x:v>Bed Base: Mattress with Standard Queen Bed Base, Mattress with Split Queen Bed Base</x:v>
      </x:c>
      <x:c r="L102" s="18" t="n">
        <x:v>1099</x:v>
      </x:c>
      <x:c r="M102" s="18" t="n">
        <x:v>1199</x:v>
      </x:c>
      <x:c r="N102" s="18" t="n">
        <x:v>2198</x:v>
      </x:c>
      <x:c r="O102" s="16" t="n">
        <x:v>8</x:v>
      </x:c>
      <x:c r="P102" s="16" t="str">
        <x:v>Yes</x:v>
      </x:c>
      <x:c r="Q102" s="16" t="str">
        <x:v>Core</x:v>
      </x:c>
      <x:c r="R102" s="16" t="str">
        <x:v>Matches a priority Bed Studio category.</x:v>
      </x:c>
    </x:row>
    <x:row r="103" ht="34" customHeight="1">
      <x:c r="A103" s="16" t="str">
        <x:v>posture-care-support-plush-bed-super-king</x:v>
      </x:c>
      <x:c r="B103" s="16" t="str">
        <x:v>Posture Care Support (Plush) Mattress &amp; Base - Super King</x:v>
      </x:c>
      <x:c r="C103" s="16" t="str">
        <x:v>Beds &amp; Bed Frames</x:v>
      </x:c>
      <x:c r="D103" s="16" t="str">
        <x:v>Furniture &gt; Beds &amp; Accessories &gt; Beds &amp; Bed Frames</x:v>
      </x:c>
      <x:c r="E103" s="16" t="str">
        <x:v>Budget Beds</x:v>
      </x:c>
      <x:c r="F103" s="16" t="str">
        <x:v>1</x:v>
      </x:c>
      <x:c r="G103" s="16" t="str">
        <x:v>active</x:v>
      </x:c>
      <x:c r="H103" s="16" t="str">
        <x:v>Plush</x:v>
      </x:c>
      <x:c r="I103" s="16" t="str">
        <x:v>Side Sleeper</x:v>
      </x:c>
      <x:c r="J103" s="16" t="str"/>
      <x:c r="K103" s="16" t="str">
        <x:v>Title: Default Title</x:v>
      </x:c>
      <x:c r="L103" s="18" t="n">
        <x:v>1369</x:v>
      </x:c>
      <x:c r="M103" s="18" t="n">
        <x:v>1369</x:v>
      </x:c>
      <x:c r="N103" s="18" t="n">
        <x:v>2698</x:v>
      </x:c>
      <x:c r="O103" s="16" t="n">
        <x:v>7</x:v>
      </x:c>
      <x:c r="P103" s="16" t="str">
        <x:v>Yes</x:v>
      </x:c>
      <x:c r="Q103" s="16" t="str">
        <x:v>Core</x:v>
      </x:c>
      <x:c r="R103" s="16" t="str">
        <x:v>Matches a priority Bed Studio category.</x:v>
      </x:c>
    </x:row>
    <x:row r="104" ht="34" customHeight="1">
      <x:c r="A104" s="16" t="str">
        <x:v>posture-care-support-plush-mattress-king</x:v>
      </x:c>
      <x:c r="B104" s="16" t="str">
        <x:v>Posture Care Support (Plush) Mattress - King</x:v>
      </x:c>
      <x:c r="C104" s="16" t="str">
        <x:v>Mattresses</x:v>
      </x:c>
      <x:c r="D104" s="16" t="str">
        <x:v>Furniture &gt; Beds &amp; Accessories &gt; Mattresses &gt; Innerspring Mattresses</x:v>
      </x:c>
      <x:c r="E104" s="16" t="str">
        <x:v>Budget Beds</x:v>
      </x:c>
      <x:c r="F104" s="16" t="str">
        <x:v>1</x:v>
      </x:c>
      <x:c r="G104" s="16" t="str">
        <x:v>active</x:v>
      </x:c>
      <x:c r="H104" s="16" t="str">
        <x:v>Plush</x:v>
      </x:c>
      <x:c r="I104" s="16" t="str">
        <x:v>Side Sleeper</x:v>
      </x:c>
      <x:c r="J104" s="16" t="str"/>
      <x:c r="K104" s="16" t="str">
        <x:v>Title: Default Title</x:v>
      </x:c>
      <x:c r="L104" s="18" t="n">
        <x:v>829</x:v>
      </x:c>
      <x:c r="M104" s="18" t="n">
        <x:v>829</x:v>
      </x:c>
      <x:c r="N104" s="18" t="n">
        <x:v>1549</x:v>
      </x:c>
      <x:c r="O104" s="16" t="n">
        <x:v>4</x:v>
      </x:c>
      <x:c r="P104" s="16" t="str">
        <x:v>Yes</x:v>
      </x:c>
      <x:c r="Q104" s="16" t="str">
        <x:v>Core</x:v>
      </x:c>
      <x:c r="R104" s="16" t="str">
        <x:v>Matches a priority Bed Studio category.</x:v>
      </x:c>
    </x:row>
    <x:row r="105" ht="34" customHeight="1">
      <x:c r="A105" s="16" t="str">
        <x:v>posture-care-support-plush-mattress-queen</x:v>
      </x:c>
      <x:c r="B105" s="16" t="str">
        <x:v>Posture Care Support (Plush) Mattress - Queen</x:v>
      </x:c>
      <x:c r="C105" s="16" t="str">
        <x:v>Mattresses</x:v>
      </x:c>
      <x:c r="D105" s="16" t="str">
        <x:v>Furniture &gt; Beds &amp; Accessories &gt; Mattresses</x:v>
      </x:c>
      <x:c r="E105" s="16" t="str">
        <x:v>Budget Beds</x:v>
      </x:c>
      <x:c r="F105" s="16" t="str">
        <x:v>1</x:v>
      </x:c>
      <x:c r="G105" s="16" t="str">
        <x:v>active</x:v>
      </x:c>
      <x:c r="H105" s="16" t="str">
        <x:v>Plush</x:v>
      </x:c>
      <x:c r="I105" s="16" t="str">
        <x:v>Side Sleeper</x:v>
      </x:c>
      <x:c r="J105" s="16" t="str"/>
      <x:c r="K105" s="16" t="str">
        <x:v>Title: Default Title</x:v>
      </x:c>
      <x:c r="L105" s="18" t="n">
        <x:v>799</x:v>
      </x:c>
      <x:c r="M105" s="18" t="n">
        <x:v>799</x:v>
      </x:c>
      <x:c r="N105" s="18" t="n">
        <x:v>1399</x:v>
      </x:c>
      <x:c r="O105" s="16" t="n">
        <x:v>4</x:v>
      </x:c>
      <x:c r="P105" s="16" t="str">
        <x:v>Yes</x:v>
      </x:c>
      <x:c r="Q105" s="16" t="str">
        <x:v>Core</x:v>
      </x:c>
      <x:c r="R105" s="16" t="str">
        <x:v>Matches a priority Bed Studio category.</x:v>
      </x:c>
    </x:row>
    <x:row r="106" ht="34" customHeight="1">
      <x:c r="A106" s="16" t="str">
        <x:v>posture-care-support-plush-mattress-super-king</x:v>
      </x:c>
      <x:c r="B106" s="16" t="str">
        <x:v>Posture Care Support (Plush) Mattress - Super King</x:v>
      </x:c>
      <x:c r="C106" s="16" t="str">
        <x:v>Mattresses</x:v>
      </x:c>
      <x:c r="D106" s="16" t="str">
        <x:v>Furniture &gt; Beds &amp; Accessories &gt; Mattresses</x:v>
      </x:c>
      <x:c r="E106" s="16" t="str">
        <x:v>Budget Beds</x:v>
      </x:c>
      <x:c r="F106" s="16" t="str">
        <x:v>1</x:v>
      </x:c>
      <x:c r="G106" s="16" t="str">
        <x:v>active</x:v>
      </x:c>
      <x:c r="H106" s="16" t="str">
        <x:v>Plush</x:v>
      </x:c>
      <x:c r="I106" s="16" t="str">
        <x:v>Side Sleeper</x:v>
      </x:c>
      <x:c r="J106" s="16" t="str"/>
      <x:c r="K106" s="16" t="str">
        <x:v>Title: Default Title</x:v>
      </x:c>
      <x:c r="L106" s="18" t="n">
        <x:v>899</x:v>
      </x:c>
      <x:c r="M106" s="18" t="n">
        <x:v>899</x:v>
      </x:c>
      <x:c r="N106" s="18" t="n">
        <x:v>1699</x:v>
      </x:c>
      <x:c r="O106" s="16" t="n">
        <x:v>5</x:v>
      </x:c>
      <x:c r="P106" s="16" t="str">
        <x:v>Yes</x:v>
      </x:c>
      <x:c r="Q106" s="16" t="str">
        <x:v>Core</x:v>
      </x:c>
      <x:c r="R106" s="16" t="str">
        <x:v>Matches a priority Bed Studio category.</x:v>
      </x:c>
    </x:row>
    <x:row r="107" ht="34" customHeight="1">
      <x:c r="A107" s="16" t="str">
        <x:v>queen-split-storage-bed-nzmade</x:v>
      </x:c>
      <x:c r="B107" s="16" t="str">
        <x:v>Storage Bed Base (Hinges) - Queen Split  NZ MADE</x:v>
      </x:c>
      <x:c r="C107" s="16" t="str">
        <x:v>Bed Bases</x:v>
      </x:c>
      <x:c r="D107" s="16" t="str">
        <x:v>Furniture &gt; Beds &amp; Accessories &gt; Beds &amp; Bed Frames</x:v>
      </x:c>
      <x:c r="E107" s="16" t="str">
        <x:v>Budget Beds</x:v>
      </x:c>
      <x:c r="F107" s="16" t="str">
        <x:v>1</x:v>
      </x:c>
      <x:c r="G107" s="16" t="str">
        <x:v>active</x:v>
      </x:c>
      <x:c r="H107" s="16" t="str"/>
      <x:c r="I107" s="16" t="str"/>
      <x:c r="J107" s="16" t="str"/>
      <x:c r="K107" s="16" t="str">
        <x:v>Title: Default Title</x:v>
      </x:c>
      <x:c r="L107" s="18" t="n">
        <x:v>1150</x:v>
      </x:c>
      <x:c r="M107" s="18" t="n">
        <x:v>1150</x:v>
      </x:c>
      <x:c r="N107" s="18" t="n">
        <x:v>2199</x:v>
      </x:c>
      <x:c r="O107" s="16" t="n">
        <x:v>8</x:v>
      </x:c>
      <x:c r="P107" s="16" t="str">
        <x:v>Yes</x:v>
      </x:c>
      <x:c r="Q107" s="16" t="str">
        <x:v>Core</x:v>
      </x:c>
      <x:c r="R107" s="16" t="str">
        <x:v>Matches a priority Bed Studio category.</x:v>
      </x:c>
    </x:row>
    <x:row r="108" ht="34" customHeight="1">
      <x:c r="A108" s="16" t="str">
        <x:v>restiva-nz-made-ultra-firm-premium-mattress</x:v>
      </x:c>
      <x:c r="B108" s="16" t="str">
        <x:v>Restiva (NZ Made) Ultra Firm Premium Mattress</x:v>
      </x:c>
      <x:c r="C108" s="16" t="str">
        <x:v>Mattresses</x:v>
      </x:c>
      <x:c r="D108" s="16" t="str">
        <x:v>Furniture &gt; Beds &amp; Accessories &gt; Mattresses &gt; Innerspring Mattresses</x:v>
      </x:c>
      <x:c r="E108" s="16" t="str">
        <x:v>Budget Beds</x:v>
      </x:c>
      <x:c r="F108" s="16" t="str">
        <x:v>1</x:v>
      </x:c>
      <x:c r="G108" s="16" t="str">
        <x:v>active</x:v>
      </x:c>
      <x:c r="H108" s="16" t="str">
        <x:v>Firm</x:v>
      </x:c>
      <x:c r="I108" s="16" t="str">
        <x:v>Back Sleeper</x:v>
      </x:c>
      <x:c r="J108" s="16" t="str"/>
      <x:c r="K108" s="16" t="str">
        <x:v>Mattress Size: Single, King Single, Long Single, Double, Queen, King, Super King, California King</x:v>
      </x:c>
      <x:c r="L108" s="18" t="n">
        <x:v>999</x:v>
      </x:c>
      <x:c r="M108" s="18" t="n">
        <x:v>1999</x:v>
      </x:c>
      <x:c r="N108" s="18" t="n">
        <x:v>2899</x:v>
      </x:c>
      <x:c r="O108" s="16" t="n">
        <x:v>5</x:v>
      </x:c>
      <x:c r="P108" s="16" t="str">
        <x:v>No</x:v>
      </x:c>
      <x:c r="Q108" s="16" t="str">
        <x:v>Core</x:v>
      </x:c>
      <x:c r="R108" s="16" t="str">
        <x:v>Matches a priority Bed Studio category.</x:v>
      </x:c>
    </x:row>
    <x:row r="109" ht="34" customHeight="1">
      <x:c r="A109" s="16" t="str">
        <x:v>restiva-ultra-firm-premium-mattress-base</x:v>
      </x:c>
      <x:c r="B109" s="16" t="str">
        <x:v>Restiva NZ Made Ultra Firm Premium Mattress &amp; Base</x:v>
      </x:c>
      <x:c r="C109" s="16" t="str"/>
      <x:c r="D109" s="16" t="str">
        <x:v>Furniture &gt; Beds &amp; Accessories &gt; Mattresses &gt; Innerspring Mattresses</x:v>
      </x:c>
      <x:c r="E109" s="16" t="str">
        <x:v>Budget Beds</x:v>
      </x:c>
      <x:c r="F109" s="16" t="str">
        <x:v>1</x:v>
      </x:c>
      <x:c r="G109" s="16" t="str">
        <x:v>active</x:v>
      </x:c>
      <x:c r="H109" s="16" t="str">
        <x:v>Firm</x:v>
      </x:c>
      <x:c r="I109" s="16" t="str">
        <x:v>Back Sleeper</x:v>
      </x:c>
      <x:c r="J109" s="16" t="str"/>
      <x:c r="K109" s="16" t="str">
        <x:v>Size: Single, King Single, Long Single, Double, Queen, King, Super King, California King</x:v>
      </x:c>
      <x:c r="L109" s="18" t="n">
        <x:v>1228</x:v>
      </x:c>
      <x:c r="M109" s="18" t="n">
        <x:v>2545</x:v>
      </x:c>
      <x:c r="N109" s="18" t="n">
        <x:v>4198</x:v>
      </x:c>
      <x:c r="O109" s="16" t="n">
        <x:v>6</x:v>
      </x:c>
      <x:c r="P109" s="16" t="str">
        <x:v>No</x:v>
      </x:c>
      <x:c r="Q109" s="16" t="str">
        <x:v>Core</x:v>
      </x:c>
      <x:c r="R109" s="16" t="str">
        <x:v>Matches a priority Bed Studio category.</x:v>
      </x:c>
    </x:row>
    <x:row r="110" ht="34" customHeight="1">
      <x:c r="A110" s="16" t="str">
        <x:v>sleep-max-essential-pillow-top-mattress</x:v>
      </x:c>
      <x:c r="B110" s="16" t="str">
        <x:v>Sleep Max Essential Pillow Top Mattress</x:v>
      </x:c>
      <x:c r="C110" s="16" t="str"/>
      <x:c r="D110" s="16" t="str">
        <x:v>Furniture &gt; Beds &amp; Accessories &gt; Mattresses &gt; Innerspring Mattresses</x:v>
      </x:c>
      <x:c r="E110" s="16" t="str">
        <x:v>Budget Beds</x:v>
      </x:c>
      <x:c r="F110" s="16" t="str">
        <x:v>1</x:v>
      </x:c>
      <x:c r="G110" s="16" t="str">
        <x:v>active</x:v>
      </x:c>
      <x:c r="H110" s="16" t="str">
        <x:v>Medium</x:v>
      </x:c>
      <x:c r="I110" s="16" t="str">
        <x:v>Side / Back / Belly Sleeper</x:v>
      </x:c>
      <x:c r="J110" s="16" t="str"/>
      <x:c r="K110" s="16" t="str">
        <x:v>Size: Single, King Single, Double, Queen</x:v>
      </x:c>
      <x:c r="L110" s="18" t="n">
        <x:v>429</x:v>
      </x:c>
      <x:c r="M110" s="18" t="n">
        <x:v>525</x:v>
      </x:c>
      <x:c r="N110" s="18" t="n">
        <x:v>845</x:v>
      </x:c>
      <x:c r="O110" s="16" t="n">
        <x:v>5</x:v>
      </x:c>
      <x:c r="P110" s="16" t="str">
        <x:v>Yes</x:v>
      </x:c>
      <x:c r="Q110" s="16" t="str">
        <x:v>Support</x:v>
      </x:c>
      <x:c r="R110" s="16" t="str">
        <x:v>Useful add-on, but not a primary launch or SEO page.</x:v>
      </x:c>
    </x:row>
    <x:row r="111" ht="34" customHeight="1">
      <x:c r="A111" s="16" t="str">
        <x:v>sleep-max-essential-pillow-top-mattress-base</x:v>
      </x:c>
      <x:c r="B111" s="16" t="str">
        <x:v>Sleep Max Essential Pillow Top Mattress &amp; Base</x:v>
      </x:c>
      <x:c r="C111" s="16" t="str"/>
      <x:c r="D111" s="16" t="str">
        <x:v>Furniture &gt; Beds &amp; Accessories &gt; Mattresses &gt; Innerspring Mattresses</x:v>
      </x:c>
      <x:c r="E111" s="16" t="str">
        <x:v>Budget Beds</x:v>
      </x:c>
      <x:c r="F111" s="16" t="str">
        <x:v>1</x:v>
      </x:c>
      <x:c r="G111" s="16" t="str">
        <x:v>active</x:v>
      </x:c>
      <x:c r="H111" s="16" t="str">
        <x:v>Medium</x:v>
      </x:c>
      <x:c r="I111" s="16" t="str">
        <x:v>Side / Back / Belly Sleeper</x:v>
      </x:c>
      <x:c r="J111" s="16" t="str"/>
      <x:c r="K111" s="16" t="str">
        <x:v>Size: Single, King Single, Double, Queen</x:v>
      </x:c>
      <x:c r="L111" s="18" t="n">
        <x:v>655</x:v>
      </x:c>
      <x:c r="M111" s="18" t="n">
        <x:v>755</x:v>
      </x:c>
      <x:c r="N111" s="18" t="n">
        <x:v>845</x:v>
      </x:c>
      <x:c r="O111" s="16" t="n">
        <x:v>6</x:v>
      </x:c>
      <x:c r="P111" s="16" t="str">
        <x:v>Yes</x:v>
      </x:c>
      <x:c r="Q111" s="16" t="str">
        <x:v>Support</x:v>
      </x:c>
      <x:c r="R111" s="16" t="str">
        <x:v>Useful add-on, but not a primary launch or SEO page.</x:v>
      </x:c>
    </x:row>
    <x:row r="112" ht="34" customHeight="1">
      <x:c r="A112" s="16" t="str">
        <x:v>sleep-max-pillow-top</x:v>
      </x:c>
      <x:c r="B112" s="16" t="str">
        <x:v>Sleep Max Pillow Top Mattress - Single</x:v>
      </x:c>
      <x:c r="C112" s="16" t="str">
        <x:v>Beds</x:v>
      </x:c>
      <x:c r="D112" s="16" t="str">
        <x:v>Furniture &gt; Beds &amp; Accessories &gt; Mattresses</x:v>
      </x:c>
      <x:c r="E112" s="16" t="str">
        <x:v>Budget Beds</x:v>
      </x:c>
      <x:c r="F112" s="16" t="str">
        <x:v>1</x:v>
      </x:c>
      <x:c r="G112" s="16" t="str">
        <x:v>active</x:v>
      </x:c>
      <x:c r="H112" s="16" t="str">
        <x:v>Medium</x:v>
      </x:c>
      <x:c r="I112" s="16" t="str">
        <x:v>Side / Back / Belly Sleeper</x:v>
      </x:c>
      <x:c r="J112" s="16" t="str"/>
      <x:c r="K112" s="16" t="str">
        <x:v>Title: Default Title</x:v>
      </x:c>
      <x:c r="L112" s="18" t="n">
        <x:v>499</x:v>
      </x:c>
      <x:c r="M112" s="18" t="n">
        <x:v>499</x:v>
      </x:c>
      <x:c r="N112" s="18" t="n">
        <x:v>899</x:v>
      </x:c>
      <x:c r="O112" s="16" t="n">
        <x:v>4</x:v>
      </x:c>
      <x:c r="P112" s="16" t="str">
        <x:v>Yes</x:v>
      </x:c>
      <x:c r="Q112" s="16" t="str">
        <x:v>Support</x:v>
      </x:c>
      <x:c r="R112" s="16" t="str">
        <x:v>Useful add-on, but not a primary launch or SEO page.</x:v>
      </x:c>
    </x:row>
    <x:row r="113" ht="34" customHeight="1">
      <x:c r="A113" s="16" t="str">
        <x:v>sleep-max-pillow-top-bed-double</x:v>
      </x:c>
      <x:c r="B113" s="16" t="str">
        <x:v>Sleep Max Pillow Top Bed - Double</x:v>
      </x:c>
      <x:c r="C113" s="16" t="str">
        <x:v>Beds</x:v>
      </x:c>
      <x:c r="D113" s="16" t="str">
        <x:v>Furniture &gt; Beds &amp; Accessories &gt; Beds &amp; Bed Frames</x:v>
      </x:c>
      <x:c r="E113" s="16" t="str">
        <x:v>Budget Beds</x:v>
      </x:c>
      <x:c r="F113" s="16" t="str">
        <x:v>1</x:v>
      </x:c>
      <x:c r="G113" s="16" t="str">
        <x:v>active</x:v>
      </x:c>
      <x:c r="H113" s="16" t="str">
        <x:v>Medium</x:v>
      </x:c>
      <x:c r="I113" s="16" t="str">
        <x:v>Side / Back / Belly Sleeper</x:v>
      </x:c>
      <x:c r="J113" s="16" t="str"/>
      <x:c r="K113" s="16" t="str">
        <x:v>Title: Default Title</x:v>
      </x:c>
      <x:c r="L113" s="18" t="n">
        <x:v>779</x:v>
      </x:c>
      <x:c r="M113" s="18" t="n">
        <x:v>779</x:v>
      </x:c>
      <x:c r="N113" s="18" t="n">
        <x:v>1680</x:v>
      </x:c>
      <x:c r="O113" s="16" t="n">
        <x:v>7</x:v>
      </x:c>
      <x:c r="P113" s="16" t="str">
        <x:v>Yes</x:v>
      </x:c>
      <x:c r="Q113" s="16" t="str">
        <x:v>Support</x:v>
      </x:c>
      <x:c r="R113" s="16" t="str">
        <x:v>Useful add-on, but not a primary launch or SEO page.</x:v>
      </x:c>
    </x:row>
    <x:row r="114" ht="34" customHeight="1">
      <x:c r="A114" s="16" t="str">
        <x:v>sleep-max-pillow-top-bed-king-single</x:v>
      </x:c>
      <x:c r="B114" s="16" t="str">
        <x:v>Sleep Max Pillow Top Mattress - King Single</x:v>
      </x:c>
      <x:c r="C114" s="16" t="str">
        <x:v>Mattresses</x:v>
      </x:c>
      <x:c r="D114" s="16" t="str">
        <x:v>Furniture &gt; Beds &amp; Accessories &gt; Mattresses</x:v>
      </x:c>
      <x:c r="E114" s="16" t="str">
        <x:v>Budget Beds</x:v>
      </x:c>
      <x:c r="F114" s="16" t="str">
        <x:v>1</x:v>
      </x:c>
      <x:c r="G114" s="16" t="str">
        <x:v>active</x:v>
      </x:c>
      <x:c r="H114" s="16" t="str">
        <x:v>Medium</x:v>
      </x:c>
      <x:c r="I114" s="16" t="str">
        <x:v>Side / Back / Belly Sleeper</x:v>
      </x:c>
      <x:c r="J114" s="16" t="str"/>
      <x:c r="K114" s="16" t="str">
        <x:v>Title: Default Title</x:v>
      </x:c>
      <x:c r="L114" s="18" t="n">
        <x:v>549</x:v>
      </x:c>
      <x:c r="M114" s="18" t="n">
        <x:v>549</x:v>
      </x:c>
      <x:c r="N114" s="18" t="n">
        <x:v>999</x:v>
      </x:c>
      <x:c r="O114" s="16" t="n">
        <x:v>6</x:v>
      </x:c>
      <x:c r="P114" s="16" t="str">
        <x:v>Yes</x:v>
      </x:c>
      <x:c r="Q114" s="16" t="str">
        <x:v>Support</x:v>
      </x:c>
      <x:c r="R114" s="16" t="str">
        <x:v>Useful add-on, but not a primary launch or SEO page.</x:v>
      </x:c>
    </x:row>
    <x:row r="115" ht="34" customHeight="1">
      <x:c r="A115" s="16" t="str">
        <x:v>sleep-max-pillow-top-bed-king-single-1</x:v>
      </x:c>
      <x:c r="B115" s="16" t="str">
        <x:v>Sleep Max Pillow Top Bed - King Single</x:v>
      </x:c>
      <x:c r="C115" s="16" t="str">
        <x:v>Beds</x:v>
      </x:c>
      <x:c r="D115" s="16" t="str">
        <x:v>Furniture &gt; Furniture Sets &gt; Bedroom Furniture Sets</x:v>
      </x:c>
      <x:c r="E115" s="16" t="str">
        <x:v>Budget Beds</x:v>
      </x:c>
      <x:c r="F115" s="16" t="str">
        <x:v>1</x:v>
      </x:c>
      <x:c r="G115" s="16" t="str">
        <x:v>active</x:v>
      </x:c>
      <x:c r="H115" s="16" t="str">
        <x:v>Medium</x:v>
      </x:c>
      <x:c r="I115" s="16" t="str">
        <x:v>Side / Back / Belly Sleeper</x:v>
      </x:c>
      <x:c r="J115" s="16" t="str"/>
      <x:c r="K115" s="16" t="str">
        <x:v>Title: Default Title</x:v>
      </x:c>
      <x:c r="L115" s="18" t="n">
        <x:v>779</x:v>
      </x:c>
      <x:c r="M115" s="18" t="n">
        <x:v>779</x:v>
      </x:c>
      <x:c r="N115" s="18" t="n">
        <x:v>1899</x:v>
      </x:c>
      <x:c r="O115" s="16" t="n">
        <x:v>6</x:v>
      </x:c>
      <x:c r="P115" s="16" t="str">
        <x:v>Yes</x:v>
      </x:c>
      <x:c r="Q115" s="16" t="str">
        <x:v>Support</x:v>
      </x:c>
      <x:c r="R115" s="16" t="str">
        <x:v>Useful add-on, but not a primary launch or SEO page.</x:v>
      </x:c>
    </x:row>
    <x:row r="116" ht="34" customHeight="1">
      <x:c r="A116" s="16" t="str">
        <x:v>sleep-max-pillow-top-bed-queen</x:v>
      </x:c>
      <x:c r="B116" s="16" t="str">
        <x:v>Sleep Max Pillow Top Mattress - Queen</x:v>
      </x:c>
      <x:c r="C116" s="16" t="str">
        <x:v>Mattresses</x:v>
      </x:c>
      <x:c r="D116" s="16" t="str">
        <x:v>Furniture &gt; Beds &amp; Accessories &gt; Mattresses</x:v>
      </x:c>
      <x:c r="E116" s="16" t="str">
        <x:v>Budget Beds</x:v>
      </x:c>
      <x:c r="F116" s="16" t="str">
        <x:v>1</x:v>
      </x:c>
      <x:c r="G116" s="16" t="str">
        <x:v>active</x:v>
      </x:c>
      <x:c r="H116" s="16" t="str">
        <x:v>Medium</x:v>
      </x:c>
      <x:c r="I116" s="16" t="str">
        <x:v>Side / Back / Belly Sleeper</x:v>
      </x:c>
      <x:c r="J116" s="16" t="str"/>
      <x:c r="K116" s="16" t="str">
        <x:v>Title: Default Title</x:v>
      </x:c>
      <x:c r="L116" s="18" t="n">
        <x:v>599</x:v>
      </x:c>
      <x:c r="M116" s="18" t="n">
        <x:v>599</x:v>
      </x:c>
      <x:c r="N116" s="18" t="n">
        <x:v>1199</x:v>
      </x:c>
      <x:c r="O116" s="16" t="n">
        <x:v>6</x:v>
      </x:c>
      <x:c r="P116" s="16" t="str">
        <x:v>Yes</x:v>
      </x:c>
      <x:c r="Q116" s="16" t="str">
        <x:v>Support</x:v>
      </x:c>
      <x:c r="R116" s="16" t="str">
        <x:v>Useful add-on, but not a primary launch or SEO page.</x:v>
      </x:c>
    </x:row>
    <x:row r="117" ht="34" customHeight="1">
      <x:c r="A117" s="16" t="str">
        <x:v>sleep-max-pillow-top-bed-queen-1</x:v>
      </x:c>
      <x:c r="B117" s="16" t="str">
        <x:v>Sleep Max Pillow Top Bed - Queen</x:v>
      </x:c>
      <x:c r="C117" s="16" t="str">
        <x:v>Beds</x:v>
      </x:c>
      <x:c r="D117" s="16" t="str">
        <x:v>Furniture &gt; Beds &amp; Accessories &gt; Beds &amp; Bed Frames &gt; Platform Beds &amp; Bed Frames</x:v>
      </x:c>
      <x:c r="E117" s="16" t="str">
        <x:v>Budget Beds</x:v>
      </x:c>
      <x:c r="F117" s="16" t="str">
        <x:v>1</x:v>
      </x:c>
      <x:c r="G117" s="16" t="str">
        <x:v>active</x:v>
      </x:c>
      <x:c r="H117" s="16" t="str">
        <x:v>Medium</x:v>
      </x:c>
      <x:c r="I117" s="16" t="str">
        <x:v>Side / Back / Belly Sleeper</x:v>
      </x:c>
      <x:c r="J117" s="16" t="str"/>
      <x:c r="K117" s="16" t="str">
        <x:v>Bed Base: Mattress with Standard Queen Base (In 1 piece), Mattress with Queen Split Base</x:v>
      </x:c>
      <x:c r="L117" s="18" t="n">
        <x:v>799</x:v>
      </x:c>
      <x:c r="M117" s="18" t="n">
        <x:v>899</x:v>
      </x:c>
      <x:c r="N117" s="18" t="n">
        <x:v>1450</x:v>
      </x:c>
      <x:c r="O117" s="16" t="n">
        <x:v>7</x:v>
      </x:c>
      <x:c r="P117" s="16" t="str">
        <x:v>Yes</x:v>
      </x:c>
      <x:c r="Q117" s="16" t="str">
        <x:v>Support</x:v>
      </x:c>
      <x:c r="R117" s="16" t="str">
        <x:v>Useful add-on, but not a primary launch or SEO page.</x:v>
      </x:c>
    </x:row>
    <x:row r="118" ht="34" customHeight="1">
      <x:c r="A118" s="16" t="str">
        <x:v>sleep-max-pillow-top-bed-single</x:v>
      </x:c>
      <x:c r="B118" s="16" t="str">
        <x:v>Sleep Max Pillow Top Bed - Single</x:v>
      </x:c>
      <x:c r="C118" s="16" t="str">
        <x:v>Beds</x:v>
      </x:c>
      <x:c r="D118" s="16" t="str">
        <x:v>Furniture &gt; Beds &amp; Accessories &gt; Beds &amp; Bed Frames</x:v>
      </x:c>
      <x:c r="E118" s="16" t="str">
        <x:v>Budget Beds</x:v>
      </x:c>
      <x:c r="F118" s="16" t="str">
        <x:v>1</x:v>
      </x:c>
      <x:c r="G118" s="16" t="str">
        <x:v>active</x:v>
      </x:c>
      <x:c r="H118" s="16" t="str">
        <x:v>Medium</x:v>
      </x:c>
      <x:c r="I118" s="16" t="str">
        <x:v>Side / Back / Belly Sleeper</x:v>
      </x:c>
      <x:c r="J118" s="16" t="str"/>
      <x:c r="K118" s="16" t="str">
        <x:v>Title: Default Title</x:v>
      </x:c>
      <x:c r="L118" s="18" t="n">
        <x:v>749</x:v>
      </x:c>
      <x:c r="M118" s="18" t="n">
        <x:v>749</x:v>
      </x:c>
      <x:c r="N118" s="18" t="n">
        <x:v>1599</x:v>
      </x:c>
      <x:c r="O118" s="16" t="n">
        <x:v>4</x:v>
      </x:c>
      <x:c r="P118" s="16" t="str">
        <x:v>Yes</x:v>
      </x:c>
      <x:c r="Q118" s="16" t="str">
        <x:v>Support</x:v>
      </x:c>
      <x:c r="R118" s="16" t="str">
        <x:v>Useful add-on, but not a primary launch or SEO page.</x:v>
      </x:c>
    </x:row>
    <x:row r="119" ht="34" customHeight="1">
      <x:c r="A119" s="16" t="str">
        <x:v>sleep-max-pillow-top-mattress-double</x:v>
      </x:c>
      <x:c r="B119" s="16" t="str">
        <x:v>Sleep Max Pillow Top Mattress - Double</x:v>
      </x:c>
      <x:c r="C119" s="16" t="str">
        <x:v>Mattresses</x:v>
      </x:c>
      <x:c r="D119" s="16" t="str">
        <x:v>Furniture &gt; Beds &amp; Accessories &gt; Mattresses</x:v>
      </x:c>
      <x:c r="E119" s="16" t="str">
        <x:v>Budget Beds</x:v>
      </x:c>
      <x:c r="F119" s="16" t="str">
        <x:v>1</x:v>
      </x:c>
      <x:c r="G119" s="16" t="str">
        <x:v>active</x:v>
      </x:c>
      <x:c r="H119" s="16" t="str">
        <x:v>Medium</x:v>
      </x:c>
      <x:c r="I119" s="16" t="str">
        <x:v>Side / Back / Belly Sleeper</x:v>
      </x:c>
      <x:c r="J119" s="16" t="str"/>
      <x:c r="K119" s="16" t="str">
        <x:v>Title: Default Title</x:v>
      </x:c>
      <x:c r="L119" s="18" t="n">
        <x:v>579</x:v>
      </x:c>
      <x:c r="M119" s="18" t="n">
        <x:v>579</x:v>
      </x:c>
      <x:c r="N119" s="18" t="n">
        <x:v>1099</x:v>
      </x:c>
      <x:c r="O119" s="16" t="n">
        <x:v>6</x:v>
      </x:c>
      <x:c r="P119" s="16" t="str">
        <x:v>Yes</x:v>
      </x:c>
      <x:c r="Q119" s="16" t="str">
        <x:v>Support</x:v>
      </x:c>
      <x:c r="R119" s="16" t="str">
        <x:v>Useful add-on, but not a primary launch or SEO page.</x:v>
      </x:c>
    </x:row>
    <x:row r="120" ht="34" customHeight="1">
      <x:c r="A120" s="16" t="str">
        <x:v>sleepmax-essential-bed-double</x:v>
      </x:c>
      <x:c r="B120" s="16" t="str">
        <x:v>Sleepmax Essential Bed - Double</x:v>
      </x:c>
      <x:c r="C120" s="16" t="str">
        <x:v>Beds</x:v>
      </x:c>
      <x:c r="D120" s="16" t="str">
        <x:v>Furniture &gt; Beds &amp; Accessories &gt; Beds &amp; Bed Frames</x:v>
      </x:c>
      <x:c r="E120" s="16" t="str">
        <x:v>Budget Beds</x:v>
      </x:c>
      <x:c r="F120" s="16" t="str">
        <x:v>1</x:v>
      </x:c>
      <x:c r="G120" s="16" t="str">
        <x:v>active</x:v>
      </x:c>
      <x:c r="H120" s="16" t="str">
        <x:v>Medium</x:v>
      </x:c>
      <x:c r="I120" s="16" t="str">
        <x:v>Side / Back / Belly Sleeper</x:v>
      </x:c>
      <x:c r="J120" s="16" t="str"/>
      <x:c r="K120" s="16" t="str">
        <x:v>Title: Default Title</x:v>
      </x:c>
      <x:c r="L120" s="18" t="n">
        <x:v>689</x:v>
      </x:c>
      <x:c r="M120" s="18" t="n">
        <x:v>689</x:v>
      </x:c>
      <x:c r="N120" s="18" t="n">
        <x:v>1699</x:v>
      </x:c>
      <x:c r="O120" s="16" t="n">
        <x:v>9</x:v>
      </x:c>
      <x:c r="P120" s="16" t="str">
        <x:v>Yes</x:v>
      </x:c>
      <x:c r="Q120" s="16" t="str">
        <x:v>Review</x:v>
      </x:c>
      <x:c r="R120" s="16" t="str">
        <x:v>Catalogue fit, duplication and product facts need manual review.</x:v>
      </x:c>
    </x:row>
    <x:row r="121" ht="34" customHeight="1">
      <x:c r="A121" s="16" t="str">
        <x:v>sleepmax-essential-bed-king-single</x:v>
      </x:c>
      <x:c r="B121" s="16" t="str">
        <x:v>Sleepmax Essential Bed - King Single</x:v>
      </x:c>
      <x:c r="C121" s="16" t="str">
        <x:v>Beds</x:v>
      </x:c>
      <x:c r="D121" s="16" t="str">
        <x:v>Furniture &gt; Beds &amp; Accessories &gt; Beds &amp; Bed Frames</x:v>
      </x:c>
      <x:c r="E121" s="16" t="str">
        <x:v>Budget Beds</x:v>
      </x:c>
      <x:c r="F121" s="16" t="str">
        <x:v>1</x:v>
      </x:c>
      <x:c r="G121" s="16" t="str">
        <x:v>active</x:v>
      </x:c>
      <x:c r="H121" s="16" t="str">
        <x:v>Medium</x:v>
      </x:c>
      <x:c r="I121" s="16" t="str">
        <x:v>Side / Back / Belly Sleeper</x:v>
      </x:c>
      <x:c r="J121" s="16" t="str"/>
      <x:c r="K121" s="16" t="str">
        <x:v>Title: Default Title</x:v>
      </x:c>
      <x:c r="L121" s="18" t="n">
        <x:v>669</x:v>
      </x:c>
      <x:c r="M121" s="18" t="n">
        <x:v>669</x:v>
      </x:c>
      <x:c r="N121" s="18" t="n">
        <x:v>1599</x:v>
      </x:c>
      <x:c r="O121" s="16" t="n">
        <x:v>9</x:v>
      </x:c>
      <x:c r="P121" s="16" t="str">
        <x:v>Yes</x:v>
      </x:c>
      <x:c r="Q121" s="16" t="str">
        <x:v>Review</x:v>
      </x:c>
      <x:c r="R121" s="16" t="str">
        <x:v>Catalogue fit, duplication and product facts need manual review.</x:v>
      </x:c>
    </x:row>
    <x:row r="122" ht="34" customHeight="1">
      <x:c r="A122" s="16" t="str">
        <x:v>sleepmax-essential-bed-queen</x:v>
      </x:c>
      <x:c r="B122" s="16" t="str">
        <x:v>Sleepmax Essential Bed - Queen</x:v>
      </x:c>
      <x:c r="C122" s="16" t="str">
        <x:v>Beds</x:v>
      </x:c>
      <x:c r="D122" s="16" t="str">
        <x:v>Furniture &gt; Beds &amp; Accessories &gt; Mattresses &gt; Innerspring Mattresses</x:v>
      </x:c>
      <x:c r="E122" s="16" t="str">
        <x:v>Budget Beds</x:v>
      </x:c>
      <x:c r="F122" s="16" t="str">
        <x:v>1</x:v>
      </x:c>
      <x:c r="G122" s="16" t="str">
        <x:v>active</x:v>
      </x:c>
      <x:c r="H122" s="16" t="str">
        <x:v>Medium</x:v>
      </x:c>
      <x:c r="I122" s="16" t="str">
        <x:v>Side / Back / Belly Sleeper</x:v>
      </x:c>
      <x:c r="J122" s="16" t="str"/>
      <x:c r="K122" s="16" t="str">
        <x:v>Bed Base: Mattress with Standard Queen Base, Mattress with Split Queen Base</x:v>
      </x:c>
      <x:c r="L122" s="18" t="n">
        <x:v>699</x:v>
      </x:c>
      <x:c r="M122" s="18" t="n">
        <x:v>799</x:v>
      </x:c>
      <x:c r="N122" s="18" t="n">
        <x:v>1749</x:v>
      </x:c>
      <x:c r="O122" s="16" t="n">
        <x:v>10</x:v>
      </x:c>
      <x:c r="P122" s="16" t="str">
        <x:v>Yes</x:v>
      </x:c>
      <x:c r="Q122" s="16" t="str">
        <x:v>Review</x:v>
      </x:c>
      <x:c r="R122" s="16" t="str">
        <x:v>Catalogue fit, duplication and product facts need manual review.</x:v>
      </x:c>
    </x:row>
    <x:row r="123" ht="34" customHeight="1">
      <x:c r="A123" s="16" t="str">
        <x:v>sleepmax-essential-bed-single</x:v>
      </x:c>
      <x:c r="B123" s="16" t="str">
        <x:v>Sleepmax Essential Bed - Single</x:v>
      </x:c>
      <x:c r="C123" s="16" t="str">
        <x:v>Beds</x:v>
      </x:c>
      <x:c r="D123" s="16" t="str">
        <x:v>Furniture &gt; Beds &amp; Accessories &gt; Beds &amp; Bed Frames</x:v>
      </x:c>
      <x:c r="E123" s="16" t="str">
        <x:v>Budget Beds</x:v>
      </x:c>
      <x:c r="F123" s="16" t="str">
        <x:v>1</x:v>
      </x:c>
      <x:c r="G123" s="16" t="str">
        <x:v>active</x:v>
      </x:c>
      <x:c r="H123" s="16" t="str">
        <x:v>Medium</x:v>
      </x:c>
      <x:c r="I123" s="16" t="str">
        <x:v>Side / Back / Belly Sleeper</x:v>
      </x:c>
      <x:c r="J123" s="16" t="str"/>
      <x:c r="K123" s="16" t="str">
        <x:v>Title: Default Title</x:v>
      </x:c>
      <x:c r="L123" s="18" t="n">
        <x:v>599</x:v>
      </x:c>
      <x:c r="M123" s="18" t="n">
        <x:v>599</x:v>
      </x:c>
      <x:c r="N123" s="18" t="n">
        <x:v>1399</x:v>
      </x:c>
      <x:c r="O123" s="16" t="n">
        <x:v>9</x:v>
      </x:c>
      <x:c r="P123" s="16" t="str">
        <x:v>Yes</x:v>
      </x:c>
      <x:c r="Q123" s="16" t="str">
        <x:v>Review</x:v>
      </x:c>
      <x:c r="R123" s="16" t="str">
        <x:v>Catalogue fit, duplication and product facts need manual review.</x:v>
      </x:c>
    </x:row>
    <x:row r="124" ht="34" customHeight="1">
      <x:c r="A124" s="16" t="str">
        <x:v>sleepmax-essential-mattress-double</x:v>
      </x:c>
      <x:c r="B124" s="16" t="str">
        <x:v>Sleepmax Essential Mattress - Double</x:v>
      </x:c>
      <x:c r="C124" s="16" t="str">
        <x:v>Mattresses</x:v>
      </x:c>
      <x:c r="D124" s="16" t="str">
        <x:v>Furniture &gt; Beds &amp; Accessories &gt; Mattresses</x:v>
      </x:c>
      <x:c r="E124" s="16" t="str">
        <x:v>Budget Beds</x:v>
      </x:c>
      <x:c r="F124" s="16" t="str">
        <x:v>1</x:v>
      </x:c>
      <x:c r="G124" s="16" t="str">
        <x:v>active</x:v>
      </x:c>
      <x:c r="H124" s="16" t="str">
        <x:v>Medium</x:v>
      </x:c>
      <x:c r="I124" s="16" t="str">
        <x:v>Side / Back / Belly Sleeper</x:v>
      </x:c>
      <x:c r="J124" s="16" t="str"/>
      <x:c r="K124" s="16" t="str">
        <x:v>Title: Default Title</x:v>
      </x:c>
      <x:c r="L124" s="18" t="n">
        <x:v>479</x:v>
      </x:c>
      <x:c r="M124" s="18" t="n">
        <x:v>479</x:v>
      </x:c>
      <x:c r="N124" s="18" t="n">
        <x:v>745</x:v>
      </x:c>
      <x:c r="O124" s="16" t="n">
        <x:v>8</x:v>
      </x:c>
      <x:c r="P124" s="16" t="str">
        <x:v>Yes</x:v>
      </x:c>
      <x:c r="Q124" s="16" t="str">
        <x:v>Core</x:v>
      </x:c>
      <x:c r="R124" s="16" t="str">
        <x:v>Matches a priority Bed Studio category.</x:v>
      </x:c>
    </x:row>
    <x:row r="125" ht="34" customHeight="1">
      <x:c r="A125" s="16" t="str">
        <x:v>sleepmax-essential-mattress-king-single</x:v>
      </x:c>
      <x:c r="B125" s="16" t="str">
        <x:v>Sleepmax Essential Mattress - King Single</x:v>
      </x:c>
      <x:c r="C125" s="16" t="str">
        <x:v>Beds</x:v>
      </x:c>
      <x:c r="D125" s="16" t="str">
        <x:v>Furniture &gt; Beds &amp; Accessories &gt; Mattresses</x:v>
      </x:c>
      <x:c r="E125" s="16" t="str">
        <x:v>Budget Beds</x:v>
      </x:c>
      <x:c r="F125" s="16" t="str">
        <x:v>1</x:v>
      </x:c>
      <x:c r="G125" s="16" t="str">
        <x:v>active</x:v>
      </x:c>
      <x:c r="H125" s="16" t="str">
        <x:v>Medium</x:v>
      </x:c>
      <x:c r="I125" s="16" t="str">
        <x:v>Side / Back / Belly Sleeper</x:v>
      </x:c>
      <x:c r="J125" s="16" t="str"/>
      <x:c r="K125" s="16" t="str">
        <x:v>Title: Default Title</x:v>
      </x:c>
      <x:c r="L125" s="18" t="n">
        <x:v>399</x:v>
      </x:c>
      <x:c r="M125" s="18" t="n">
        <x:v>399</x:v>
      </x:c>
      <x:c r="N125" s="18" t="n">
        <x:v>725</x:v>
      </x:c>
      <x:c r="O125" s="16" t="n">
        <x:v>9</x:v>
      </x:c>
      <x:c r="P125" s="16" t="str">
        <x:v>Yes</x:v>
      </x:c>
      <x:c r="Q125" s="16" t="str">
        <x:v>Core</x:v>
      </x:c>
      <x:c r="R125" s="16" t="str">
        <x:v>Matches a priority Bed Studio category.</x:v>
      </x:c>
    </x:row>
    <x:row r="126" ht="34" customHeight="1">
      <x:c r="A126" s="16" t="str">
        <x:v>sleepmax-essential-mattress-queen</x:v>
      </x:c>
      <x:c r="B126" s="16" t="str">
        <x:v>Sleepmax Essential Mattress - Queen</x:v>
      </x:c>
      <x:c r="C126" s="16" t="str">
        <x:v>Mattresses</x:v>
      </x:c>
      <x:c r="D126" s="16" t="str">
        <x:v>Furniture &gt; Beds &amp; Accessories &gt; Mattresses</x:v>
      </x:c>
      <x:c r="E126" s="16" t="str">
        <x:v>Budget Beds</x:v>
      </x:c>
      <x:c r="F126" s="16" t="str">
        <x:v>1</x:v>
      </x:c>
      <x:c r="G126" s="16" t="str">
        <x:v>active</x:v>
      </x:c>
      <x:c r="H126" s="16" t="str">
        <x:v>Medium</x:v>
      </x:c>
      <x:c r="I126" s="16" t="str">
        <x:v>Side / Back / Belly Sleeper</x:v>
      </x:c>
      <x:c r="J126" s="16" t="str"/>
      <x:c r="K126" s="16" t="str">
        <x:v>Title: Default Title</x:v>
      </x:c>
      <x:c r="L126" s="18" t="n">
        <x:v>485</x:v>
      </x:c>
      <x:c r="M126" s="18" t="n">
        <x:v>485</x:v>
      </x:c>
      <x:c r="N126" s="18" t="n">
        <x:v>799</x:v>
      </x:c>
      <x:c r="O126" s="16" t="n">
        <x:v>8</x:v>
      </x:c>
      <x:c r="P126" s="16" t="str">
        <x:v>Yes</x:v>
      </x:c>
      <x:c r="Q126" s="16" t="str">
        <x:v>Core</x:v>
      </x:c>
      <x:c r="R126" s="16" t="str">
        <x:v>Matches a priority Bed Studio category.</x:v>
      </x:c>
    </x:row>
    <x:row r="127" ht="34" customHeight="1">
      <x:c r="A127" s="16" t="str">
        <x:v>space-saver-bunk-bed-single-single-budget-beds</x:v>
      </x:c>
      <x:c r="B127" s="16" t="str">
        <x:v>Space Saver Bunk Bed (Single+Single) - Budget Beds</x:v>
      </x:c>
      <x:c r="C127" s="16" t="str"/>
      <x:c r="D127" s="16" t="str">
        <x:v>Furniture &gt; Beds &amp; Accessories &gt; Beds &amp; Bed Frames &gt; Bunk Beds &amp; Bed Frames</x:v>
      </x:c>
      <x:c r="E127" s="16" t="str">
        <x:v>Budget Beds</x:v>
      </x:c>
      <x:c r="F127" s="16" t="str">
        <x:v>1</x:v>
      </x:c>
      <x:c r="G127" s="16" t="str">
        <x:v>active</x:v>
      </x:c>
      <x:c r="H127" s="16" t="str"/>
      <x:c r="I127" s="16" t="str"/>
      <x:c r="J127" s="16" t="str"/>
      <x:c r="K127" s="16" t="str">
        <x:v>With Or Without Mattress: Bunk Bed only (Single+Single), Bunk Bed with 2 X Single Mattresses</x:v>
      </x:c>
      <x:c r="L127" s="18" t="n">
        <x:v>799</x:v>
      </x:c>
      <x:c r="M127" s="18" t="n">
        <x:v>1450</x:v>
      </x:c>
      <x:c r="N127" s="18"/>
      <x:c r="O127" s="16" t="n">
        <x:v>5</x:v>
      </x:c>
      <x:c r="P127" s="16" t="str">
        <x:v>Yes</x:v>
      </x:c>
      <x:c r="Q127" s="16" t="str">
        <x:v>Exclude / archive candidate</x:v>
      </x:c>
      <x:c r="R127" s="16" t="str">
        <x:v>Off-position for the premium bed and mattress launch; client review required.</x:v>
      </x:c>
    </x:row>
    <x:row r="128" ht="34" customHeight="1">
      <x:c r="A128" s="16" t="str">
        <x:v>standard-drawer-base-sleepmax-mattress-headboard-king-single</x:v>
      </x:c>
      <x:c r="B128" s="16" t="str">
        <x:v>3 Piece Essential Combo Deal - King Single</x:v>
      </x:c>
      <x:c r="C128" s="16" t="str"/>
      <x:c r="D128" s="16" t="str">
        <x:v>Furniture &gt; Beds &amp; Accessories &gt; Beds &amp; Bed Frames &gt; Divan Beds &amp; Bed Frames</x:v>
      </x:c>
      <x:c r="E128" s="16" t="str">
        <x:v>Budget Beds</x:v>
      </x:c>
      <x:c r="F128" s="16" t="str">
        <x:v>1</x:v>
      </x:c>
      <x:c r="G128" s="16" t="str">
        <x:v>active</x:v>
      </x:c>
      <x:c r="H128" s="16" t="str"/>
      <x:c r="I128" s="16" t="str"/>
      <x:c r="J128" s="16" t="str"/>
      <x:c r="K128" s="16" t="str">
        <x:v>Title: Default Title</x:v>
      </x:c>
      <x:c r="L128" s="18" t="n">
        <x:v>1190</x:v>
      </x:c>
      <x:c r="M128" s="18" t="n">
        <x:v>1190</x:v>
      </x:c>
      <x:c r="N128" s="18" t="n">
        <x:v>2323</x:v>
      </x:c>
      <x:c r="O128" s="16" t="n">
        <x:v>6</x:v>
      </x:c>
      <x:c r="P128" s="16" t="str">
        <x:v>No</x:v>
      </x:c>
      <x:c r="Q128" s="16" t="str">
        <x:v>Core</x:v>
      </x:c>
      <x:c r="R128" s="16" t="str">
        <x:v>Matches a priority Bed Studio category.</x:v>
      </x:c>
    </x:row>
    <x:row r="129" ht="34" customHeight="1">
      <x:c r="A129" s="16" t="str">
        <x:v>storage-bed-base-premium-quality-nz-made-california-king</x:v>
      </x:c>
      <x:c r="B129" s="16" t="str">
        <x:v>Storage Bed Base - Premium Quality NZ Made-California King</x:v>
      </x:c>
      <x:c r="C129" s="16" t="str">
        <x:v>Bed Bases</x:v>
      </x:c>
      <x:c r="D129" s="16" t="str">
        <x:v>Furniture &gt; Beds &amp; Accessories &gt; Beds &amp; Bed Frames</x:v>
      </x:c>
      <x:c r="E129" s="16" t="str">
        <x:v>Budget Beds</x:v>
      </x:c>
      <x:c r="F129" s="16" t="str">
        <x:v>1</x:v>
      </x:c>
      <x:c r="G129" s="16" t="str">
        <x:v>active</x:v>
      </x:c>
      <x:c r="H129" s="16" t="str"/>
      <x:c r="I129" s="16" t="str"/>
      <x:c r="J129" s="16" t="str"/>
      <x:c r="K129" s="16" t="str">
        <x:v>Title: Default Title</x:v>
      </x:c>
      <x:c r="L129" s="18" t="n">
        <x:v>1399</x:v>
      </x:c>
      <x:c r="M129" s="18" t="n">
        <x:v>1399</x:v>
      </x:c>
      <x:c r="N129" s="18" t="n">
        <x:v>2799</x:v>
      </x:c>
      <x:c r="O129" s="16" t="n">
        <x:v>5</x:v>
      </x:c>
      <x:c r="P129" s="16" t="str">
        <x:v>Yes</x:v>
      </x:c>
      <x:c r="Q129" s="16" t="str">
        <x:v>Core</x:v>
      </x:c>
      <x:c r="R129" s="16" t="str">
        <x:v>Matches a priority Bed Studio category.</x:v>
      </x:c>
    </x:row>
    <x:row r="130" ht="34" customHeight="1">
      <x:c r="A130" s="16" t="str">
        <x:v>storage-bed-base-premium-quality-nz-made-double</x:v>
      </x:c>
      <x:c r="B130" s="16" t="str">
        <x:v>Storage Bed Base (Hinges) - Premium Quality NZ Made (Double)</x:v>
      </x:c>
      <x:c r="C130" s="16" t="str">
        <x:v>Bed Bases</x:v>
      </x:c>
      <x:c r="D130" s="16" t="str">
        <x:v>Furniture &gt; Beds &amp; Accessories &gt; Beds &amp; Bed Frames</x:v>
      </x:c>
      <x:c r="E130" s="16" t="str">
        <x:v>Budget Beds</x:v>
      </x:c>
      <x:c r="F130" s="16" t="str">
        <x:v>1</x:v>
      </x:c>
      <x:c r="G130" s="16" t="str">
        <x:v>active</x:v>
      </x:c>
      <x:c r="H130" s="16" t="str"/>
      <x:c r="I130" s="16" t="str"/>
      <x:c r="J130" s="16" t="str"/>
      <x:c r="K130" s="16" t="str">
        <x:v>Title: Default Title</x:v>
      </x:c>
      <x:c r="L130" s="18" t="n">
        <x:v>999</x:v>
      </x:c>
      <x:c r="M130" s="18" t="n">
        <x:v>999</x:v>
      </x:c>
      <x:c r="N130" s="18" t="n">
        <x:v>1699</x:v>
      </x:c>
      <x:c r="O130" s="16" t="n">
        <x:v>3</x:v>
      </x:c>
      <x:c r="P130" s="16" t="str">
        <x:v>Yes</x:v>
      </x:c>
      <x:c r="Q130" s="16" t="str">
        <x:v>Core</x:v>
      </x:c>
      <x:c r="R130" s="16" t="str">
        <x:v>Matches a priority Bed Studio category.</x:v>
      </x:c>
    </x:row>
    <x:row r="131" ht="34" customHeight="1">
      <x:c r="A131" s="16" t="str">
        <x:v>storage-bed-base-premium-quality-nz-made-king</x:v>
      </x:c>
      <x:c r="B131" s="16" t="str">
        <x:v>Storage Bed Base (Hinges) - Premium Quality NZ Made (King)</x:v>
      </x:c>
      <x:c r="C131" s="16" t="str">
        <x:v>Bed Bases</x:v>
      </x:c>
      <x:c r="D131" s="16" t="str">
        <x:v>Furniture &gt; Beds &amp; Accessories &gt; Beds &amp; Bed Frames</x:v>
      </x:c>
      <x:c r="E131" s="16" t="str">
        <x:v>Budget Beds</x:v>
      </x:c>
      <x:c r="F131" s="16" t="str">
        <x:v>1</x:v>
      </x:c>
      <x:c r="G131" s="16" t="str">
        <x:v>active</x:v>
      </x:c>
      <x:c r="H131" s="16" t="str"/>
      <x:c r="I131" s="16" t="str"/>
      <x:c r="J131" s="16" t="str"/>
      <x:c r="K131" s="16" t="str">
        <x:v>Title: Default Title</x:v>
      </x:c>
      <x:c r="L131" s="18" t="n">
        <x:v>1249</x:v>
      </x:c>
      <x:c r="M131" s="18" t="n">
        <x:v>1249</x:v>
      </x:c>
      <x:c r="N131" s="18" t="n">
        <x:v>2299</x:v>
      </x:c>
      <x:c r="O131" s="16" t="n">
        <x:v>4</x:v>
      </x:c>
      <x:c r="P131" s="16" t="str">
        <x:v>Yes</x:v>
      </x:c>
      <x:c r="Q131" s="16" t="str">
        <x:v>Core</x:v>
      </x:c>
      <x:c r="R131" s="16" t="str">
        <x:v>Matches a priority Bed Studio category.</x:v>
      </x:c>
    </x:row>
    <x:row r="132" ht="34" customHeight="1">
      <x:c r="A132" s="16" t="str">
        <x:v>storage-bed-base-premium-quality-nz-made-king-single</x:v>
      </x:c>
      <x:c r="B132" s="16" t="str">
        <x:v>Storage Bed Base (Hinges) - Premium Quality NZ Made (King Single)</x:v>
      </x:c>
      <x:c r="C132" s="16" t="str">
        <x:v>Bed Bases</x:v>
      </x:c>
      <x:c r="D132" s="16" t="str">
        <x:v>Furniture &gt; Beds &amp; Accessories &gt; Beds &amp; Bed Frames</x:v>
      </x:c>
      <x:c r="E132" s="16" t="str">
        <x:v>Budget Beds</x:v>
      </x:c>
      <x:c r="F132" s="16" t="str">
        <x:v>0</x:v>
      </x:c>
      <x:c r="G132" s="16" t="str">
        <x:v>archived</x:v>
      </x:c>
      <x:c r="H132" s="16" t="str"/>
      <x:c r="I132" s="16" t="str"/>
      <x:c r="J132" s="16" t="str"/>
      <x:c r="K132" s="16" t="str">
        <x:v>Title: Default Title</x:v>
      </x:c>
      <x:c r="L132" s="18" t="n">
        <x:v>799</x:v>
      </x:c>
      <x:c r="M132" s="18" t="n">
        <x:v>799</x:v>
      </x:c>
      <x:c r="N132" s="18" t="n">
        <x:v>1399</x:v>
      </x:c>
      <x:c r="O132" s="16" t="n">
        <x:v>7</x:v>
      </x:c>
      <x:c r="P132" s="16" t="str">
        <x:v>Yes</x:v>
      </x:c>
      <x:c r="Q132" s="16" t="str">
        <x:v>Core</x:v>
      </x:c>
      <x:c r="R132" s="16" t="str">
        <x:v>Matches a priority Bed Studio category.</x:v>
      </x:c>
    </x:row>
    <x:row r="133" ht="34" customHeight="1">
      <x:c r="A133" s="16" t="str">
        <x:v>storage-bed-base-premium-quality-nz-made-long-single</x:v>
      </x:c>
      <x:c r="B133" s="16" t="str">
        <x:v>Storage Bed Base (Hinges) - Premium Quality NZ Made (Long Single)</x:v>
      </x:c>
      <x:c r="C133" s="16" t="str">
        <x:v>Bed Bases</x:v>
      </x:c>
      <x:c r="D133" s="16" t="str">
        <x:v>Furniture &gt; Beds &amp; Accessories &gt; Beds &amp; Bed Frames</x:v>
      </x:c>
      <x:c r="E133" s="16" t="str">
        <x:v>Budget Beds</x:v>
      </x:c>
      <x:c r="F133" s="16" t="str">
        <x:v>0</x:v>
      </x:c>
      <x:c r="G133" s="16" t="str">
        <x:v>archived</x:v>
      </x:c>
      <x:c r="H133" s="16" t="str"/>
      <x:c r="I133" s="16" t="str"/>
      <x:c r="J133" s="16" t="str"/>
      <x:c r="K133" s="16" t="str">
        <x:v>Title: Default Title</x:v>
      </x:c>
      <x:c r="L133" s="18" t="n">
        <x:v>899</x:v>
      </x:c>
      <x:c r="M133" s="18" t="n">
        <x:v>899</x:v>
      </x:c>
      <x:c r="N133" s="18" t="n">
        <x:v>1599</x:v>
      </x:c>
      <x:c r="O133" s="16" t="n">
        <x:v>6</x:v>
      </x:c>
      <x:c r="P133" s="16" t="str">
        <x:v>Yes</x:v>
      </x:c>
      <x:c r="Q133" s="16" t="str">
        <x:v>Core</x:v>
      </x:c>
      <x:c r="R133" s="16" t="str">
        <x:v>Matches a priority Bed Studio category.</x:v>
      </x:c>
    </x:row>
    <x:row r="134" ht="34" customHeight="1">
      <x:c r="A134" s="16" t="str">
        <x:v>storage-bed-base-premium-quality-nz-made-queen</x:v>
      </x:c>
      <x:c r="B134" s="16" t="str">
        <x:v>Storage Bed Base (Hinges) - Premium Quality NZ Made (Queen)</x:v>
      </x:c>
      <x:c r="C134" s="16" t="str">
        <x:v>Bed Bases</x:v>
      </x:c>
      <x:c r="D134" s="16" t="str">
        <x:v>Furniture &gt; Beds &amp; Accessories &gt; Beds &amp; Bed Frames &gt; Platform Beds &amp; Bed Frames</x:v>
      </x:c>
      <x:c r="E134" s="16" t="str">
        <x:v>Budget Beds</x:v>
      </x:c>
      <x:c r="F134" s="16" t="str">
        <x:v>1</x:v>
      </x:c>
      <x:c r="G134" s="16" t="str">
        <x:v>active</x:v>
      </x:c>
      <x:c r="H134" s="16" t="str"/>
      <x:c r="I134" s="16" t="str"/>
      <x:c r="J134" s="16" t="str"/>
      <x:c r="K134" s="16" t="str">
        <x:v>Type: Storage Bed Only, Storage Bed with Headboard</x:v>
      </x:c>
      <x:c r="L134" s="18" t="n">
        <x:v>1050</x:v>
      </x:c>
      <x:c r="M134" s="18" t="n">
        <x:v>1350</x:v>
      </x:c>
      <x:c r="N134" s="18" t="n">
        <x:v>1799</x:v>
      </x:c>
      <x:c r="O134" s="16" t="n">
        <x:v>4</x:v>
      </x:c>
      <x:c r="P134" s="16" t="str">
        <x:v>Yes</x:v>
      </x:c>
      <x:c r="Q134" s="16" t="str">
        <x:v>Core</x:v>
      </x:c>
      <x:c r="R134" s="16" t="str">
        <x:v>Matches a priority Bed Studio category.</x:v>
      </x:c>
    </x:row>
    <x:row r="135" ht="34" customHeight="1">
      <x:c r="A135" s="16" t="str">
        <x:v>storage-bed-base-premium-quality-nz-made-single</x:v>
      </x:c>
      <x:c r="B135" s="16" t="str">
        <x:v>Storage Bed Base (Hinges) - Premium Quality NZ Made (Single)</x:v>
      </x:c>
      <x:c r="C135" s="16" t="str">
        <x:v>Bed Bases</x:v>
      </x:c>
      <x:c r="D135" s="16" t="str">
        <x:v>Furniture &gt; Beds &amp; Accessories &gt; Beds &amp; Bed Frames</x:v>
      </x:c>
      <x:c r="E135" s="16" t="str">
        <x:v>Budget Beds</x:v>
      </x:c>
      <x:c r="F135" s="16" t="str">
        <x:v>1</x:v>
      </x:c>
      <x:c r="G135" s="16" t="str">
        <x:v>active</x:v>
      </x:c>
      <x:c r="H135" s="16" t="str"/>
      <x:c r="I135" s="16" t="str"/>
      <x:c r="J135" s="16" t="str"/>
      <x:c r="K135" s="16" t="str">
        <x:v>Title: Default Title</x:v>
      </x:c>
      <x:c r="L135" s="18" t="n">
        <x:v>799</x:v>
      </x:c>
      <x:c r="M135" s="18" t="n">
        <x:v>799</x:v>
      </x:c>
      <x:c r="N135" s="18" t="n">
        <x:v>1399</x:v>
      </x:c>
      <x:c r="O135" s="16" t="n">
        <x:v>7</x:v>
      </x:c>
      <x:c r="P135" s="16" t="str">
        <x:v>Yes</x:v>
      </x:c>
      <x:c r="Q135" s="16" t="str">
        <x:v>Core</x:v>
      </x:c>
      <x:c r="R135" s="16" t="str">
        <x:v>Matches a priority Bed Studio category.</x:v>
      </x:c>
    </x:row>
    <x:row r="136" ht="34" customHeight="1">
      <x:c r="A136" s="16" t="str">
        <x:v>storage-plus-deep-drawers-bed-base</x:v>
      </x:c>
      <x:c r="B136" s="16" t="str">
        <x:v>Extra Deep Drawer Bed Base Size - Single (NZ Made)</x:v>
      </x:c>
      <x:c r="C136" s="16" t="str">
        <x:v>Bed Bases</x:v>
      </x:c>
      <x:c r="D136" s="16" t="str">
        <x:v>Furniture &gt; Beds &amp; Accessories &gt; Beds &amp; Bed Frames</x:v>
      </x:c>
      <x:c r="E136" s="16" t="str">
        <x:v>Budget Beds</x:v>
      </x:c>
      <x:c r="F136" s="16" t="str">
        <x:v>1</x:v>
      </x:c>
      <x:c r="G136" s="16" t="str">
        <x:v>active</x:v>
      </x:c>
      <x:c r="H136" s="16" t="str"/>
      <x:c r="I136" s="16" t="str"/>
      <x:c r="J136" s="16" t="str"/>
      <x:c r="K136" s="16" t="str">
        <x:v>Title: Default Title</x:v>
      </x:c>
      <x:c r="L136" s="18" t="n">
        <x:v>699</x:v>
      </x:c>
      <x:c r="M136" s="18" t="n">
        <x:v>699</x:v>
      </x:c>
      <x:c r="N136" s="18" t="n">
        <x:v>1199</x:v>
      </x:c>
      <x:c r="O136" s="16" t="n">
        <x:v>3</x:v>
      </x:c>
      <x:c r="P136" s="16" t="str">
        <x:v>Yes</x:v>
      </x:c>
      <x:c r="Q136" s="16" t="str">
        <x:v>Core</x:v>
      </x:c>
      <x:c r="R136" s="16" t="str">
        <x:v>Matches a priority Bed Studio category.</x:v>
      </x:c>
    </x:row>
    <x:row r="137" ht="34" customHeight="1">
      <x:c r="A137" s="16" t="str">
        <x:v>twintower-wooden-bunk-bed</x:v>
      </x:c>
      <x:c r="B137" s="16" t="str">
        <x:v>TwinTower Wooden Bunk Bed -</x:v>
      </x:c>
      <x:c r="C137" s="16" t="str"/>
      <x:c r="D137" s="16" t="str">
        <x:v>Furniture &gt; Beds &amp; Accessories &gt; Beds &amp; Bed Frames &gt; Bunk Beds &amp; Bed Frames</x:v>
      </x:c>
      <x:c r="E137" s="16" t="str">
        <x:v>Budget Beds</x:v>
      </x:c>
      <x:c r="F137" s="16" t="str">
        <x:v>1</x:v>
      </x:c>
      <x:c r="G137" s="16" t="str">
        <x:v>active</x:v>
      </x:c>
      <x:c r="H137" s="16" t="str"/>
      <x:c r="I137" s="16" t="str"/>
      <x:c r="J137" s="16" t="str"/>
      <x:c r="K137" s="16" t="str">
        <x:v>With OR Without Mattressess (Double &amp; Single): Bunk Bed Frame Only, Bunk Bed Frame + Mattresses (Double &amp; Single)</x:v>
      </x:c>
      <x:c r="L137" s="18" t="n">
        <x:v>899</x:v>
      </x:c>
      <x:c r="M137" s="18" t="n">
        <x:v>1498</x:v>
      </x:c>
      <x:c r="N137" s="18"/>
      <x:c r="O137" s="16" t="n">
        <x:v>5</x:v>
      </x:c>
      <x:c r="P137" s="16" t="str">
        <x:v>No</x:v>
      </x:c>
      <x:c r="Q137" s="16" t="str">
        <x:v>Exclude / archive candidate</x:v>
      </x:c>
      <x:c r="R137" s="16" t="str">
        <x:v>Off-position for the premium bed and mattress launch; client review required.</x:v>
      </x:c>
    </x:row>
    <x:row r="138" ht="34" customHeight="1">
      <x:c r="A138" s="16" t="str">
        <x:v>waterproof-mattress-protector-casa</x:v>
      </x:c>
      <x:c r="B138" s="16" t="str">
        <x:v>Waterproof Mattress Protector - Casa</x:v>
      </x:c>
      <x:c r="C138" s="16" t="str">
        <x:v>Bedding</x:v>
      </x:c>
      <x:c r="D138" s="16" t="str">
        <x:v>Home &amp; Garden &gt; Linens &amp; Bedding &gt; Bedding &gt; Mattress Protectors</x:v>
      </x:c>
      <x:c r="E138" s="16" t="str">
        <x:v>Budget Beds</x:v>
      </x:c>
      <x:c r="F138" s="16" t="str">
        <x:v>1</x:v>
      </x:c>
      <x:c r="G138" s="16" t="str">
        <x:v>active</x:v>
      </x:c>
      <x:c r="H138" s="16" t="str"/>
      <x:c r="I138" s="16" t="str"/>
      <x:c r="J138" s="16" t="str"/>
      <x:c r="K138" s="16" t="str">
        <x:v>Size: Single, Long Single, King Single, Double, Queen, King, Super King, California King</x:v>
      </x:c>
      <x:c r="L138" s="18" t="n">
        <x:v>69.99</x:v>
      </x:c>
      <x:c r="M138" s="18" t="n">
        <x:v>139.99</x:v>
      </x:c>
      <x:c r="N138" s="18"/>
      <x:c r="O138" s="16" t="n">
        <x:v>5</x:v>
      </x:c>
      <x:c r="P138" s="16" t="str">
        <x:v>Yes</x:v>
      </x:c>
      <x:c r="Q138" s="16" t="str">
        <x:v>Support</x:v>
      </x:c>
      <x:c r="R138" s="16" t="str">
        <x:v>Useful add-on, but not a primary launch or SEO page.</x:v>
      </x:c>
    </x:row>
    <x:row r="139" ht="34" customHeight="1">
      <x:c r="A139" s="16" t="str">
        <x:v>waterproof-mattress-protector-staynew</x:v>
      </x:c>
      <x:c r="B139" s="16" t="str">
        <x:v>Waterproof Mattress Protector - StayNew</x:v>
      </x:c>
      <x:c r="C139" s="16" t="str">
        <x:v>Bedding</x:v>
      </x:c>
      <x:c r="D139" s="16" t="str">
        <x:v>Home &amp; Garden &gt; Linens &amp; Bedding &gt; Bedding &gt; Mattress Protectors</x:v>
      </x:c>
      <x:c r="E139" s="16" t="str">
        <x:v>Budget Beds</x:v>
      </x:c>
      <x:c r="F139" s="16" t="str">
        <x:v>1</x:v>
      </x:c>
      <x:c r="G139" s="16" t="str">
        <x:v>active</x:v>
      </x:c>
      <x:c r="H139" s="16" t="str"/>
      <x:c r="I139" s="16" t="str"/>
      <x:c r="J139" s="16" t="str"/>
      <x:c r="K139" s="16" t="str">
        <x:v>Size: Single, Long Single, King Single, Double, Queen, King, Super King, California King</x:v>
      </x:c>
      <x:c r="L139" s="18" t="n">
        <x:v>55.99</x:v>
      </x:c>
      <x:c r="M139" s="18" t="n">
        <x:v>119.99</x:v>
      </x:c>
      <x:c r="N139" s="18"/>
      <x:c r="O139" s="16" t="n">
        <x:v>6</x:v>
      </x:c>
      <x:c r="P139" s="16" t="str">
        <x:v>Yes</x:v>
      </x:c>
      <x:c r="Q139" s="16" t="str">
        <x:v>Support</x:v>
      </x:c>
      <x:c r="R139" s="16" t="str">
        <x:v>Useful add-on, but not a primary launch or SEO page.</x:v>
      </x:c>
    </x:row>
    <x:row r="140" ht="34" customHeight="1">
      <x:c r="A140" s="16" t="str">
        <x:v>wembley-headboard</x:v>
      </x:c>
      <x:c r="B140" s="16" t="str">
        <x:v>Wembley Headboard Double (NZ Made)</x:v>
      </x:c>
      <x:c r="C140" s="16" t="str">
        <x:v>HeadBoards</x:v>
      </x:c>
      <x:c r="D140" s="16" t="str">
        <x:v>Furniture &gt; Beds &amp; Accessories &gt; Headboards</x:v>
      </x:c>
      <x:c r="E140" s="16" t="str">
        <x:v>Budget Beds</x:v>
      </x:c>
      <x:c r="F140" s="16" t="str">
        <x:v>1</x:v>
      </x:c>
      <x:c r="G140" s="16" t="str">
        <x:v>active</x:v>
      </x:c>
      <x:c r="H140" s="16" t="str"/>
      <x:c r="I140" s="16" t="str"/>
      <x:c r="J140" s="16" t="str"/>
      <x:c r="K140" s="16" t="str">
        <x:v>Title: Default Title</x:v>
      </x:c>
      <x:c r="L140" s="18" t="n">
        <x:v>469</x:v>
      </x:c>
      <x:c r="M140" s="18" t="n">
        <x:v>469</x:v>
      </x:c>
      <x:c r="N140" s="18" t="n">
        <x:v>999</x:v>
      </x:c>
      <x:c r="O140" s="16" t="n">
        <x:v>6</x:v>
      </x:c>
      <x:c r="P140" s="16" t="str">
        <x:v>Yes</x:v>
      </x:c>
      <x:c r="Q140" s="16" t="str">
        <x:v>Core</x:v>
      </x:c>
      <x:c r="R140" s="16" t="str">
        <x:v>Matches a priority Bed Studio category.</x:v>
      </x:c>
    </x:row>
    <x:row r="141" ht="34" customHeight="1">
      <x:c r="A141" s="16" t="str">
        <x:v>wembley-headboard-california-king-nz-made</x:v>
      </x:c>
      <x:c r="B141" s="16" t="str">
        <x:v>Wembley Headboard California King (NZ Made)</x:v>
      </x:c>
      <x:c r="C141" s="16" t="str">
        <x:v>HeadBoards</x:v>
      </x:c>
      <x:c r="D141" s="16" t="str">
        <x:v>Furniture &gt; Beds &amp; Accessories &gt; Headboards &amp; Footboards</x:v>
      </x:c>
      <x:c r="E141" s="16" t="str">
        <x:v>Budget Beds</x:v>
      </x:c>
      <x:c r="F141" s="16" t="str">
        <x:v>1</x:v>
      </x:c>
      <x:c r="G141" s="16" t="str">
        <x:v>active</x:v>
      </x:c>
      <x:c r="H141" s="16" t="str"/>
      <x:c r="I141" s="16" t="str"/>
      <x:c r="J141" s="16" t="str"/>
      <x:c r="K141" s="16" t="str">
        <x:v>Title: Default Title</x:v>
      </x:c>
      <x:c r="L141" s="18" t="n">
        <x:v>799</x:v>
      </x:c>
      <x:c r="M141" s="18" t="n">
        <x:v>799</x:v>
      </x:c>
      <x:c r="N141" s="18" t="n">
        <x:v>1599</x:v>
      </x:c>
      <x:c r="O141" s="16" t="n">
        <x:v>7</x:v>
      </x:c>
      <x:c r="P141" s="16" t="str">
        <x:v>Yes</x:v>
      </x:c>
      <x:c r="Q141" s="16" t="str">
        <x:v>Core</x:v>
      </x:c>
      <x:c r="R141" s="16" t="str">
        <x:v>Matches a priority Bed Studio category.</x:v>
      </x:c>
    </x:row>
    <x:row r="142" ht="34" customHeight="1">
      <x:c r="A142" s="16" t="str">
        <x:v>wembley-headboard-king-nz-made</x:v>
      </x:c>
      <x:c r="B142" s="16" t="str">
        <x:v>Wembley Headboard King (NZ Made)</x:v>
      </x:c>
      <x:c r="C142" s="16" t="str">
        <x:v>HeadBoards</x:v>
      </x:c>
      <x:c r="D142" s="16" t="str">
        <x:v>Furniture &gt; Beds &amp; Accessories &gt; Headboards &amp; Footboards</x:v>
      </x:c>
      <x:c r="E142" s="16" t="str">
        <x:v>Budget Beds</x:v>
      </x:c>
      <x:c r="F142" s="16" t="str">
        <x:v>1</x:v>
      </x:c>
      <x:c r="G142" s="16" t="str">
        <x:v>active</x:v>
      </x:c>
      <x:c r="H142" s="16" t="str"/>
      <x:c r="I142" s="16" t="str"/>
      <x:c r="J142" s="16" t="str"/>
      <x:c r="K142" s="16" t="str">
        <x:v>Title: Default Title</x:v>
      </x:c>
      <x:c r="L142" s="18" t="n">
        <x:v>699</x:v>
      </x:c>
      <x:c r="M142" s="18" t="n">
        <x:v>699</x:v>
      </x:c>
      <x:c r="N142" s="18" t="n">
        <x:v>1399</x:v>
      </x:c>
      <x:c r="O142" s="16" t="n">
        <x:v>7</x:v>
      </x:c>
      <x:c r="P142" s="16" t="str">
        <x:v>Yes</x:v>
      </x:c>
      <x:c r="Q142" s="16" t="str">
        <x:v>Core</x:v>
      </x:c>
      <x:c r="R142" s="16" t="str">
        <x:v>Matches a priority Bed Studio category.</x:v>
      </x:c>
    </x:row>
    <x:row r="143" ht="34" customHeight="1">
      <x:c r="A143" s="16" t="str">
        <x:v>wembley-headboard-queen-nz-made</x:v>
      </x:c>
      <x:c r="B143" s="16" t="str">
        <x:v>Wembley Headboard Queen (NZ Made)</x:v>
      </x:c>
      <x:c r="C143" s="16" t="str">
        <x:v>HeadBoards</x:v>
      </x:c>
      <x:c r="D143" s="16" t="str">
        <x:v>Furniture &gt; Beds &amp; Accessories &gt; Headboards</x:v>
      </x:c>
      <x:c r="E143" s="16" t="str">
        <x:v>Budget Beds</x:v>
      </x:c>
      <x:c r="F143" s="16" t="str">
        <x:v>1</x:v>
      </x:c>
      <x:c r="G143" s="16" t="str">
        <x:v>active</x:v>
      </x:c>
      <x:c r="H143" s="16" t="str"/>
      <x:c r="I143" s="16" t="str"/>
      <x:c r="J143" s="16" t="str"/>
      <x:c r="K143" s="16" t="str">
        <x:v>Title: King Single, Default Title</x:v>
      </x:c>
      <x:c r="L143" s="18" t="n">
        <x:v>399</x:v>
      </x:c>
      <x:c r="M143" s="18" t="n">
        <x:v>499</x:v>
      </x:c>
      <x:c r="N143" s="18" t="n">
        <x:v>1299</x:v>
      </x:c>
      <x:c r="O143" s="16" t="n">
        <x:v>9</x:v>
      </x:c>
      <x:c r="P143" s="16" t="str">
        <x:v>Yes</x:v>
      </x:c>
      <x:c r="Q143" s="16" t="str">
        <x:v>Core</x:v>
      </x:c>
      <x:c r="R143" s="16" t="str">
        <x:v>Matches a priority Bed Studio category.</x:v>
      </x:c>
    </x:row>
    <x:row r="144" ht="34" customHeight="1">
      <x:c r="A144" s="16" t="str">
        <x:v>wembley-headboard-super-king-nz-made</x:v>
      </x:c>
      <x:c r="B144" s="16" t="str">
        <x:v>Wembley Headboard Super King (NZ Made)</x:v>
      </x:c>
      <x:c r="C144" s="16" t="str">
        <x:v>HeadBoards</x:v>
      </x:c>
      <x:c r="D144" s="16" t="str">
        <x:v>Furniture &gt; Beds &amp; Accessories &gt; Headboards &amp; Footboards</x:v>
      </x:c>
      <x:c r="E144" s="16" t="str">
        <x:v>Budget Beds</x:v>
      </x:c>
      <x:c r="F144" s="16" t="str">
        <x:v>1</x:v>
      </x:c>
      <x:c r="G144" s="16" t="str">
        <x:v>active</x:v>
      </x:c>
      <x:c r="H144" s="16" t="str"/>
      <x:c r="I144" s="16" t="str"/>
      <x:c r="J144" s="16" t="str"/>
      <x:c r="K144" s="16" t="str">
        <x:v>Title: Default Title</x:v>
      </x:c>
      <x:c r="L144" s="18" t="n">
        <x:v>749</x:v>
      </x:c>
      <x:c r="M144" s="18" t="n">
        <x:v>749</x:v>
      </x:c>
      <x:c r="N144" s="18" t="n">
        <x:v>1499</x:v>
      </x:c>
      <x:c r="O144" s="16" t="n">
        <x:v>7</x:v>
      </x:c>
      <x:c r="P144" s="16" t="str">
        <x:v>Yes</x:v>
      </x:c>
      <x:c r="Q144" s="16" t="str">
        <x:v>Core</x:v>
      </x:c>
      <x:c r="R144" s="16" t="str">
        <x:v>Matches a priority Bed Studio category.</x:v>
      </x:c>
    </x:row>
    <x:row r="145" ht="34" customHeight="1">
      <x:c r="A145" s="16" t="str">
        <x:v>windsor-headboard</x:v>
      </x:c>
      <x:c r="B145" s="16" t="str">
        <x:v>Windsor Headboard Double (NZ Made)</x:v>
      </x:c>
      <x:c r="C145" s="16" t="str">
        <x:v>HeadBoards</x:v>
      </x:c>
      <x:c r="D145" s="16" t="str">
        <x:v>Furniture &gt; Beds &amp; Accessories &gt; Headboards</x:v>
      </x:c>
      <x:c r="E145" s="16" t="str">
        <x:v>Budget Beds</x:v>
      </x:c>
      <x:c r="F145" s="16" t="str">
        <x:v>1</x:v>
      </x:c>
      <x:c r="G145" s="16" t="str">
        <x:v>active</x:v>
      </x:c>
      <x:c r="H145" s="16" t="str"/>
      <x:c r="I145" s="16" t="str"/>
      <x:c r="J145" s="16" t="str"/>
      <x:c r="K145" s="16" t="str">
        <x:v>Height: Standard Height (1220 mm / 122 cm), Extra Height (Upto 1600 mm / 166 cm)</x:v>
      </x:c>
      <x:c r="L145" s="18" t="n">
        <x:v>799</x:v>
      </x:c>
      <x:c r="M145" s="18" t="n">
        <x:v>1119</x:v>
      </x:c>
      <x:c r="N145" s="18" t="n">
        <x:v>1799</x:v>
      </x:c>
      <x:c r="O145" s="16" t="n">
        <x:v>4</x:v>
      </x:c>
      <x:c r="P145" s="16" t="str">
        <x:v>Yes</x:v>
      </x:c>
      <x:c r="Q145" s="16" t="str">
        <x:v>Core</x:v>
      </x:c>
      <x:c r="R145" s="16" t="str">
        <x:v>Matches a priority Bed Studio category.</x:v>
      </x:c>
    </x:row>
    <x:row r="146" ht="34" customHeight="1">
      <x:c r="A146" s="16" t="str">
        <x:v>x-firm-care-plus-mattress-double</x:v>
      </x:c>
      <x:c r="B146" s="16" t="str">
        <x:v>Care Plus X-Firm Mattress - Double</x:v>
      </x:c>
      <x:c r="C146" s="16" t="str">
        <x:v>Mattresses</x:v>
      </x:c>
      <x:c r="D146" s="16" t="str">
        <x:v>Furniture &gt; Beds &amp; Accessories &gt; Mattresses &gt; Innerspring Mattresses</x:v>
      </x:c>
      <x:c r="E146" s="16" t="str">
        <x:v>Budget Beds</x:v>
      </x:c>
      <x:c r="F146" s="16" t="str">
        <x:v>1</x:v>
      </x:c>
      <x:c r="G146" s="16" t="str">
        <x:v>active</x:v>
      </x:c>
      <x:c r="H146" s="16" t="str">
        <x:v>Firm</x:v>
      </x:c>
      <x:c r="I146" s="16" t="str">
        <x:v>Back Sleeper</x:v>
      </x:c>
      <x:c r="J146" s="16" t="str"/>
      <x:c r="K146" s="16" t="str">
        <x:v>Title: Default Title</x:v>
      </x:c>
      <x:c r="L146" s="18" t="n">
        <x:v>999</x:v>
      </x:c>
      <x:c r="M146" s="18" t="n">
        <x:v>999</x:v>
      </x:c>
      <x:c r="N146" s="18" t="n">
        <x:v>1299</x:v>
      </x:c>
      <x:c r="O146" s="16" t="n">
        <x:v>7</x:v>
      </x:c>
      <x:c r="P146" s="16" t="str">
        <x:v>Yes</x:v>
      </x:c>
      <x:c r="Q146" s="16" t="str">
        <x:v>Core</x:v>
      </x:c>
      <x:c r="R146" s="16" t="str">
        <x:v>Matches a priority Bed Studio category.</x:v>
      </x:c>
    </x:row>
    <x:row r="147" ht="34" customHeight="1">
      <x:c r="A147" s="16" t="str">
        <x:v>x-firm-care-plus-mattress-double-bed</x:v>
      </x:c>
      <x:c r="B147" s="16" t="str">
        <x:v>Care Plus X-Firm Mattress &amp; Base - Double</x:v>
      </x:c>
      <x:c r="C147" s="16" t="str">
        <x:v>Beds &amp; Bed Frames</x:v>
      </x:c>
      <x:c r="D147" s="16" t="str">
        <x:v>Furniture &gt; Beds &amp; Accessories &gt; Beds &amp; Bed Frames</x:v>
      </x:c>
      <x:c r="E147" s="16" t="str">
        <x:v>Budget Beds</x:v>
      </x:c>
      <x:c r="F147" s="16" t="str">
        <x:v>1</x:v>
      </x:c>
      <x:c r="G147" s="16" t="str">
        <x:v>active</x:v>
      </x:c>
      <x:c r="H147" s="16" t="str">
        <x:v>Firm</x:v>
      </x:c>
      <x:c r="I147" s="16" t="str">
        <x:v>Back Sleeper</x:v>
      </x:c>
      <x:c r="J147" s="16" t="str"/>
      <x:c r="K147" s="16" t="str">
        <x:v>Title: Default Title</x:v>
      </x:c>
      <x:c r="L147" s="18" t="n">
        <x:v>1299</x:v>
      </x:c>
      <x:c r="M147" s="18" t="n">
        <x:v>1299</x:v>
      </x:c>
      <x:c r="N147" s="18" t="n">
        <x:v>1899</x:v>
      </x:c>
      <x:c r="O147" s="16" t="n">
        <x:v>8</x:v>
      </x:c>
      <x:c r="P147" s="16" t="str">
        <x:v>Yes</x:v>
      </x:c>
      <x:c r="Q147" s="16" t="str">
        <x:v>Core</x:v>
      </x:c>
      <x:c r="R147" s="16" t="str">
        <x:v>Matches a priority Bed Studio category.</x:v>
      </x:c>
    </x:row>
  </x:sheetData>
  <x:mergeCells>
    <x:mergeCell ref="A1:R1"/>
    <x:mergeCell ref="A2:R2"/>
  </x:mergeCells>
  <x:conditionalFormatting sqref="P5:P147">
    <x:cfRule type="containsText" dxfId="1" priority="1" operator="containsText" text="Yes"/>
  </x:conditionalFormatting>
  <x:conditionalFormatting sqref="Q5:Q147">
    <x:cfRule type="containsText" dxfId="2" priority="2" operator="containsText" text="Core"/>
    <x:cfRule type="containsText" dxfId="3" priority="3" operator="containsText" text="Exclude"/>
  </x:conditionalFormatting>
  <x:pageMargins left="0.7" right="0.7" top="0.75" bottom="0.75" header="0.3" footer="0.3"/>
  <x:tableParts count="1">
    <x:tablePart xmlns:r="http://schemas.openxmlformats.org/officeDocument/2006/relationships" r:id="R9eb82f108d0144c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5" hidden="0" customWidth="1"/>
    <x:col min="3" max="3" width="39" hidden="0" customWidth="1"/>
    <x:col min="4" max="4" width="31" hidden="0" customWidth="1"/>
    <x:col min="5" max="5" width="22" hidden="0" customWidth="1"/>
    <x:col min="6" max="6" width="52" hidden="0" customWidth="1"/>
  </x:cols>
  <x:sheetData>
    <x:row r="1" ht="30" customHeight="1">
      <x:c r="A1" s="3" t="str">
        <x:v>Shopify Collection Plan</x:v>
      </x:c>
      <x:c r="B1" s="3"/>
      <x:c r="C1" s="3"/>
      <x:c r="D1" s="3"/>
      <x:c r="E1" s="3"/>
      <x:c r="F1" s="3"/>
    </x:row>
    <x:row r="2" ht="34" customHeight="1">
      <x:c r="A2" s="7" t="str">
        <x:v>Collection rules and indexation guardrails for the Prestige build.</x:v>
      </x:c>
      <x:c r="B2" s="7"/>
      <x:c r="C2" s="7"/>
      <x:c r="D2" s="7"/>
      <x:c r="E2" s="7"/>
      <x:c r="F2" s="7"/>
    </x:row>
    <x:row r="4" ht="30" customHeight="1">
      <x:c r="A4" s="12" t="str">
        <x:v>Collection</x:v>
      </x:c>
      <x:c r="B4" s="12" t="str">
        <x:v>URL</x:v>
      </x:c>
      <x:c r="C4" s="12" t="str">
        <x:v>Inclusion Rule</x:v>
      </x:c>
      <x:c r="D4" s="12" t="str">
        <x:v>Filters</x:v>
      </x:c>
      <x:c r="E4" s="12" t="str">
        <x:v>Priority</x:v>
      </x:c>
      <x:c r="F4" s="12" t="str">
        <x:v>SEO / QA Note</x:v>
      </x:c>
    </x:row>
    <x:row r="5" ht="34" customHeight="1">
      <x:c r="A5" s="16" t="str">
        <x:v>Mattresses</x:v>
      </x:c>
      <x:c r="B5" s="16" t="str">
        <x:v>/collections/mattresses</x:v>
      </x:c>
      <x:c r="C5" s="16" t="str">
        <x:v>Mattress products</x:v>
      </x:c>
      <x:c r="D5" s="16" t="str">
        <x:v>Feel; Sleeper Type; Size; NZ-made</x:v>
      </x:c>
      <x:c r="E5" s="16" t="str">
        <x:v>Primary launch collection</x:v>
      </x:c>
      <x:c r="F5" s="16" t="str">
        <x:v>Do not split all sizes into indexable pages at launch</x:v>
      </x:c>
    </x:row>
    <x:row r="6" ht="34" customHeight="1">
      <x:c r="A6" s="16" t="str">
        <x:v>Beds &amp; Bases</x:v>
      </x:c>
      <x:c r="B6" s="16" t="str">
        <x:v>/collections/beds-and-bases</x:v>
      </x:c>
      <x:c r="C6" s="16" t="str">
        <x:v>Bed/base products</x:v>
      </x:c>
      <x:c r="D6" s="16" t="str">
        <x:v>Size; Storage; Adjustable; NZ-made</x:v>
      </x:c>
      <x:c r="E6" s="16" t="str">
        <x:v>Primary launch collection</x:v>
      </x:c>
      <x:c r="F6" s="16" t="str">
        <x:v>Separate mattress-only products</x:v>
      </x:c>
    </x:row>
    <x:row r="7" ht="34" customHeight="1">
      <x:c r="A7" s="16" t="str">
        <x:v>Headboards</x:v>
      </x:c>
      <x:c r="B7" s="16" t="str">
        <x:v>/collections/headboards</x:v>
      </x:c>
      <x:c r="C7" s="16" t="str">
        <x:v>Headboard products</x:v>
      </x:c>
      <x:c r="D7" s="16" t="str">
        <x:v>Size; Style; Fabric; NZ-made</x:v>
      </x:c>
      <x:c r="E7" s="16" t="str">
        <x:v>Primary launch collection</x:v>
      </x:c>
      <x:c r="F7" s="16" t="str">
        <x:v>Consolidate duplicate size-specific handles where practical</x:v>
      </x:c>
    </x:row>
    <x:row r="8" ht="34" customHeight="1">
      <x:c r="A8" s="16" t="str">
        <x:v>Storage Beds</x:v>
      </x:c>
      <x:c r="B8" s="16" t="str">
        <x:v>/collections/storage-beds</x:v>
      </x:c>
      <x:c r="C8" s="16" t="str">
        <x:v>Gas lift/drawer storage products</x:v>
      </x:c>
      <x:c r="D8" s="16" t="str">
        <x:v>Size; Storage type; Fabric</x:v>
      </x:c>
      <x:c r="E8" s="16" t="str">
        <x:v>Primary launch collection</x:v>
      </x:c>
      <x:c r="F8" s="16" t="str">
        <x:v>Confirm access and assembly guidance</x:v>
      </x:c>
    </x:row>
    <x:row r="9" ht="34" customHeight="1">
      <x:c r="A9" s="16" t="str">
        <x:v>Adjustable Beds</x:v>
      </x:c>
      <x:c r="B9" s="16" t="str">
        <x:v>/collections/adjustable-beds</x:v>
      </x:c>
      <x:c r="C9" s="16" t="str">
        <x:v>Approved adjustable products</x:v>
      </x:c>
      <x:c r="D9" s="16" t="str">
        <x:v>Size; Mattress compatibility</x:v>
      </x:c>
      <x:c r="E9" s="16" t="str">
        <x:v>Primary launch collection</x:v>
      </x:c>
      <x:c r="F9" s="16" t="str">
        <x:v>Range not obvious in latest export; confirm products</x:v>
      </x:c>
    </x:row>
    <x:row r="10" ht="34" customHeight="1">
      <x:c r="A10" s="16" t="str">
        <x:v>NZ-Made</x:v>
      </x:c>
      <x:c r="B10" s="16" t="str">
        <x:v>/collections/nz-made-beds-and-mattresses</x:v>
      </x:c>
      <x:c r="C10" s="16" t="str">
        <x:v>Verified NZ-made products</x:v>
      </x:c>
      <x:c r="D10" s="16" t="str">
        <x:v>Product type; Size; Feel</x:v>
      </x:c>
      <x:c r="E10" s="16" t="str">
        <x:v>Trust collection</x:v>
      </x:c>
      <x:c r="F10" s="16" t="str">
        <x:v>Do not infer origin from brand alone</x:v>
      </x:c>
    </x:row>
    <x:row r="11" ht="34" customHeight="1">
      <x:c r="A11" s="16" t="str">
        <x:v>Queen</x:v>
      </x:c>
      <x:c r="B11" s="16" t="str">
        <x:v>/collections/queen-beds</x:v>
      </x:c>
      <x:c r="C11" s="16" t="str">
        <x:v>Products with Queen variants</x:v>
      </x:c>
      <x:c r="D11" s="16" t="str">
        <x:v>Product type; Feel</x:v>
      </x:c>
      <x:c r="E11" s="16" t="str">
        <x:v>Phase 2 conditional</x:v>
      </x:c>
      <x:c r="F11" s="16" t="str">
        <x:v>Index only with sufficient unique content and depth</x:v>
      </x:c>
    </x:row>
    <x:row r="12" ht="34" customHeight="1">
      <x:c r="A12" s="16" t="str">
        <x:v>King</x:v>
      </x:c>
      <x:c r="B12" s="16" t="str">
        <x:v>/collections/king-beds</x:v>
      </x:c>
      <x:c r="C12" s="16" t="str">
        <x:v>Products with King variants</x:v>
      </x:c>
      <x:c r="D12" s="16" t="str">
        <x:v>Product type; Feel</x:v>
      </x:c>
      <x:c r="E12" s="16" t="str">
        <x:v>Phase 2 conditional</x:v>
      </x:c>
      <x:c r="F12" s="16" t="str">
        <x:v>Index only with sufficient unique content and depth</x:v>
      </x:c>
    </x:row>
    <x:row r="13" ht="34" customHeight="1">
      <x:c r="A13" s="16" t="str">
        <x:v>Plush</x:v>
      </x:c>
      <x:c r="B13" s="16" t="str">
        <x:v>/collections/plush-mattresses</x:v>
      </x:c>
      <x:c r="C13" s="16" t="str">
        <x:v>Mattresses tagged Plush</x:v>
      </x:c>
      <x:c r="D13" s="16" t="str">
        <x:v>Size; Sleeper Type</x:v>
      </x:c>
      <x:c r="E13" s="16" t="str">
        <x:v>Phase 2 conditional</x:v>
      </x:c>
      <x:c r="F13" s="16" t="str">
        <x:v>Avoid thin filter pages</x:v>
      </x:c>
    </x:row>
    <x:row r="14" ht="34" customHeight="1">
      <x:c r="A14" s="16" t="str">
        <x:v>Medium</x:v>
      </x:c>
      <x:c r="B14" s="16" t="str">
        <x:v>/collections/medium-mattresses</x:v>
      </x:c>
      <x:c r="C14" s="16" t="str">
        <x:v>Mattresses tagged Medium</x:v>
      </x:c>
      <x:c r="D14" s="16" t="str">
        <x:v>Size; Sleeper Type</x:v>
      </x:c>
      <x:c r="E14" s="16" t="str">
        <x:v>Phase 2 conditional</x:v>
      </x:c>
      <x:c r="F14" s="16" t="str">
        <x:v>Normalise inconsistent values first</x:v>
      </x:c>
    </x:row>
    <x:row r="15" ht="34" customHeight="1">
      <x:c r="A15" s="16" t="str">
        <x:v>Firm</x:v>
      </x:c>
      <x:c r="B15" s="16" t="str">
        <x:v>/collections/firm-mattresses</x:v>
      </x:c>
      <x:c r="C15" s="16" t="str">
        <x:v>Mattresses tagged Firm</x:v>
      </x:c>
      <x:c r="D15" s="16" t="str">
        <x:v>Size; Sleeper Type</x:v>
      </x:c>
      <x:c r="E15" s="16" t="str">
        <x:v>Phase 2 conditional</x:v>
      </x:c>
      <x:c r="F15" s="16" t="str">
        <x:v>Normalise inconsistent values first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d14d4e4971704d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6" hidden="0" customWidth="1"/>
    <x:col min="3" max="3" width="54" hidden="0" customWidth="1"/>
    <x:col min="4" max="4" width="48" hidden="0" customWidth="1"/>
  </x:cols>
  <x:sheetData>
    <x:row r="1" ht="30" customHeight="1">
      <x:c r="A1" s="3" t="str">
        <x:v>SleepMatch Decision Map</x:v>
      </x:c>
      <x:c r="B1" s="3"/>
      <x:c r="C1" s="3"/>
      <x:c r="D1" s="3"/>
    </x:row>
    <x:row r="2" ht="34" customHeight="1">
      <x:c r="A2" s="7" t="str">
        <x:v>Customer-friendly guidance from the 21 July email. This is not medical advice or a guaranteed product recommendation.</x:v>
      </x:c>
      <x:c r="B2" s="7"/>
      <x:c r="C2" s="7"/>
      <x:c r="D2" s="7"/>
    </x:row>
    <x:row r="4" ht="30" customHeight="1">
      <x:c r="A4" s="12" t="str">
        <x:v>Dimension</x:v>
      </x:c>
      <x:c r="B4" s="12" t="str">
        <x:v>Choice</x:v>
      </x:c>
      <x:c r="C4" s="12" t="str">
        <x:v>Guidance</x:v>
      </x:c>
      <x:c r="D4" s="12" t="str">
        <x:v>Copy Guardrail</x:v>
      </x:c>
    </x:row>
    <x:row r="5" ht="34" customHeight="1">
      <x:c r="A5" s="16" t="str">
        <x:v>Size</x:v>
      </x:c>
      <x:c r="B5" s="16" t="str">
        <x:v>Single to California King</x:v>
      </x:c>
      <x:c r="C5" s="16" t="str">
        <x:v>Start with room, user and available product sizes</x:v>
      </x:c>
      <x:c r="D5" s="16" t="str">
        <x:v>Do not publish dimensions until verified</x:v>
      </x:c>
    </x:row>
    <x:row r="6" ht="34" customHeight="1">
      <x:c r="A6" s="16" t="str">
        <x:v>Feel</x:v>
      </x:c>
      <x:c r="B6" s="16" t="str">
        <x:v>Plush</x:v>
      </x:c>
      <x:c r="C6" s="16" t="str">
        <x:v>Often considered by customers wanting a softer surface</x:v>
      </x:c>
      <x:c r="D6" s="16" t="str">
        <x:v>Use may suit; encourage showroom testing</x:v>
      </x:c>
    </x:row>
    <x:row r="7" ht="34" customHeight="1">
      <x:c r="A7" s="16" t="str">
        <x:v>Feel</x:v>
      </x:c>
      <x:c r="B7" s="16" t="str">
        <x:v>Medium</x:v>
      </x:c>
      <x:c r="C7" s="16" t="str">
        <x:v>Balanced comfort path</x:v>
      </x:c>
      <x:c r="D7" s="16" t="str">
        <x:v>Normalise Soft/Medium and Medium/Firm values</x:v>
      </x:c>
    </x:row>
    <x:row r="8" ht="34" customHeight="1">
      <x:c r="A8" s="16" t="str">
        <x:v>Feel</x:v>
      </x:c>
      <x:c r="B8" s="16" t="str">
        <x:v>Firm</x:v>
      </x:c>
      <x:c r="C8" s="16" t="str">
        <x:v>Firmer comfort path</x:v>
      </x:c>
      <x:c r="D8" s="16" t="str">
        <x:v>Do not equate firmness with medical benefit</x:v>
      </x:c>
    </x:row>
    <x:row r="9" ht="34" customHeight="1">
      <x:c r="A9" s="16" t="str">
        <x:v>Sleeper Type</x:v>
      </x:c>
      <x:c r="B9" s="16" t="str">
        <x:v>Side</x:v>
      </x:c>
      <x:c r="C9" s="16" t="str">
        <x:v>Client guidance: plush to medium</x:v>
      </x:c>
      <x:c r="D9" s="16" t="str">
        <x:v>Educational guidance only</x:v>
      </x:c>
    </x:row>
    <x:row r="10" ht="34" customHeight="1">
      <x:c r="A10" s="16" t="str">
        <x:v>Sleeper Type</x:v>
      </x:c>
      <x:c r="B10" s="16" t="str">
        <x:v>Back</x:v>
      </x:c>
      <x:c r="C10" s="16" t="str">
        <x:v>Client guidance: medium to medium-firm</x:v>
      </x:c>
      <x:c r="D10" s="16" t="str">
        <x:v>Educational guidance only</x:v>
      </x:c>
    </x:row>
    <x:row r="11" ht="34" customHeight="1">
      <x:c r="A11" s="16" t="str">
        <x:v>Sleeper Type</x:v>
      </x:c>
      <x:c r="B11" s="16" t="str">
        <x:v>Front / belly</x:v>
      </x:c>
      <x:c r="C11" s="16" t="str">
        <x:v>Client guidance: medium-firm to firm</x:v>
      </x:c>
      <x:c r="D11" s="16" t="str">
        <x:v>Use front and stomach wording naturally</x:v>
      </x:c>
    </x:row>
    <x:row r="12" ht="34" customHeight="1">
      <x:c r="A12" s="16" t="str">
        <x:v>Need</x:v>
      </x:c>
      <x:c r="B12" s="16" t="str">
        <x:v>Hot sleeper</x:v>
      </x:c>
      <x:c r="C12" s="16" t="str">
        <x:v>Compare breathable/cooling product evidence</x:v>
      </x:c>
      <x:c r="D12" s="16" t="str">
        <x:v>Verify supplier claims</x:v>
      </x:c>
    </x:row>
    <x:row r="13" ht="34" customHeight="1">
      <x:c r="A13" s="16" t="str">
        <x:v>Need</x:v>
      </x:c>
      <x:c r="B13" s="16" t="str">
        <x:v>Couples</x:v>
      </x:c>
      <x:c r="C13" s="16" t="str">
        <x:v>Consider size, movement and split comfort</x:v>
      </x:c>
      <x:c r="D13" s="16" t="str">
        <x:v>Avoid guaranteed disturbance claims</x:v>
      </x:c>
    </x:row>
    <x:row r="14" ht="34" customHeight="1">
      <x:c r="A14" s="16" t="str">
        <x:v>CTA</x:v>
      </x:c>
      <x:c r="B14" s="16" t="str">
        <x:v>Showroom test</x:v>
      </x:c>
      <x:c r="C14" s="16" t="str">
        <x:v>Try shortlisted options in Newmarket</x:v>
      </x:c>
      <x:c r="D14" s="16" t="str">
        <x:v>Primary conversion action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ed0908429c3c43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7" hidden="0" customWidth="1"/>
    <x:col min="3" max="3" width="34" hidden="0" customWidth="1"/>
    <x:col min="4" max="4" width="23" hidden="0" customWidth="1"/>
    <x:col min="5" max="5" width="10" hidden="0" customWidth="1"/>
    <x:col min="6" max="6" width="15" hidden="0" customWidth="1"/>
    <x:col min="7" max="7" width="48" hidden="0" customWidth="1"/>
    <x:col min="8" max="8" width="47" hidden="0" customWidth="1"/>
  </x:cols>
  <x:sheetData>
    <x:row r="1" ht="30" customHeight="1">
      <x:c r="A1" s="3" t="str">
        <x:v>Content Production Roadmap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Prioritised work for writers, SEO, merchandising and development.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12" t="str">
        <x:v>Order</x:v>
      </x:c>
      <x:c r="B4" s="12" t="str">
        <x:v>Wave</x:v>
      </x:c>
      <x:c r="C4" s="12" t="str">
        <x:v>Deliverable</x:v>
      </x:c>
      <x:c r="D4" s="12" t="str">
        <x:v>Owner</x:v>
      </x:c>
      <x:c r="E4" s="12" t="str">
        <x:v>Priority</x:v>
      </x:c>
      <x:c r="F4" s="12" t="str">
        <x:v>Status</x:v>
      </x:c>
      <x:c r="G4" s="12" t="str">
        <x:v>Required Input</x:v>
      </x:c>
      <x:c r="H4" s="12" t="str">
        <x:v>Definition Of Done</x:v>
      </x:c>
    </x:row>
    <x:row r="5" ht="34" customHeight="1">
      <x:c r="A5" s="16" t="str">
        <x:v>1</x:v>
      </x:c>
      <x:c r="B5" s="16" t="str">
        <x:v>Foundation</x:v>
      </x:c>
      <x:c r="C5" s="16" t="str">
        <x:v>Homepage</x:v>
      </x:c>
      <x:c r="D5" s="16" t="str">
        <x:v>Writer + SEO</x:v>
      </x:c>
      <x:c r="E5" s="16" t="str">
        <x:v>P0</x:v>
      </x:c>
      <x:c r="F5" s="16" t="str">
        <x:v>Not started</x:v>
      </x:c>
      <x:c r="G5" s="16" t="str">
        <x:v>Approved positioning, imagery and CTA</x:v>
      </x:c>
      <x:c r="H5" s="16" t="str">
        <x:v>Prestige homepage ready for QA</x:v>
      </x:c>
    </x:row>
    <x:row r="6" ht="34" customHeight="1">
      <x:c r="A6" s="16" t="str">
        <x:v>2</x:v>
      </x:c>
      <x:c r="B6" s="16" t="str">
        <x:v>Foundation</x:v>
      </x:c>
      <x:c r="C6" s="16" t="str">
        <x:v>Newmarket Showroom</x:v>
      </x:c>
      <x:c r="D6" s="16" t="str">
        <x:v>Writer + Local SEO</x:v>
      </x:c>
      <x:c r="E6" s="16" t="str">
        <x:v>P0</x:v>
      </x:c>
      <x:c r="F6" s="16" t="str">
        <x:v>Blocked</x:v>
      </x:c>
      <x:c r="G6" s="16" t="str">
        <x:v>Hours, parking, map, showroom photos</x:v>
      </x:c>
      <x:c r="H6" s="16" t="str">
        <x:v>Local conversion page complete</x:v>
      </x:c>
    </x:row>
    <x:row r="7" ht="34" customHeight="1">
      <x:c r="A7" s="16" t="str">
        <x:v>3</x:v>
      </x:c>
      <x:c r="B7" s="16" t="str">
        <x:v>Collections</x:v>
      </x:c>
      <x:c r="C7" s="16" t="str">
        <x:v>Mattresses</x:v>
      </x:c>
      <x:c r="D7" s="16" t="str">
        <x:v>Writer + Merchandising</x:v>
      </x:c>
      <x:c r="E7" s="16" t="str">
        <x:v>P0</x:v>
      </x:c>
      <x:c r="F7" s="16" t="str">
        <x:v>Not started</x:v>
      </x:c>
      <x:c r="G7" s="16" t="str">
        <x:v>Approved product set and filter values</x:v>
      </x:c>
      <x:c r="H7" s="16" t="str">
        <x:v>Collection copy and grid complete</x:v>
      </x:c>
    </x:row>
    <x:row r="8" ht="34" customHeight="1">
      <x:c r="A8" s="16" t="str">
        <x:v>4</x:v>
      </x:c>
      <x:c r="B8" s="16" t="str">
        <x:v>Collections</x:v>
      </x:c>
      <x:c r="C8" s="16" t="str">
        <x:v>Beds &amp; Bases</x:v>
      </x:c>
      <x:c r="D8" s="16" t="str">
        <x:v>Writer + Merchandising</x:v>
      </x:c>
      <x:c r="E8" s="16" t="str">
        <x:v>P0</x:v>
      </x:c>
      <x:c r="F8" s="16" t="str">
        <x:v>Not started</x:v>
      </x:c>
      <x:c r="G8" s="16" t="str">
        <x:v>Approved product set</x:v>
      </x:c>
      <x:c r="H8" s="16" t="str">
        <x:v>Collection copy and grid complete</x:v>
      </x:c>
    </x:row>
    <x:row r="9" ht="34" customHeight="1">
      <x:c r="A9" s="16" t="str">
        <x:v>5</x:v>
      </x:c>
      <x:c r="B9" s="16" t="str">
        <x:v>Collections</x:v>
      </x:c>
      <x:c r="C9" s="16" t="str">
        <x:v>Headboards</x:v>
      </x:c>
      <x:c r="D9" s="16" t="str">
        <x:v>Writer + Merchandising</x:v>
      </x:c>
      <x:c r="E9" s="16" t="str">
        <x:v>P0</x:v>
      </x:c>
      <x:c r="F9" s="16" t="str">
        <x:v>Not started</x:v>
      </x:c>
      <x:c r="G9" s="16" t="str">
        <x:v>Duplicate/variant consolidation decision</x:v>
      </x:c>
      <x:c r="H9" s="16" t="str">
        <x:v>Collection copy and grid complete</x:v>
      </x:c>
    </x:row>
    <x:row r="10" ht="34" customHeight="1">
      <x:c r="A10" s="16" t="str">
        <x:v>6</x:v>
      </x:c>
      <x:c r="B10" s="16" t="str">
        <x:v>Collections</x:v>
      </x:c>
      <x:c r="C10" s="16" t="str">
        <x:v>Storage Beds</x:v>
      </x:c>
      <x:c r="D10" s="16" t="str">
        <x:v>Writer + Merchandising</x:v>
      </x:c>
      <x:c r="E10" s="16" t="str">
        <x:v>P0</x:v>
      </x:c>
      <x:c r="F10" s="16" t="str">
        <x:v>Not started</x:v>
      </x:c>
      <x:c r="G10" s="16" t="str">
        <x:v>Approved products and delivery facts</x:v>
      </x:c>
      <x:c r="H10" s="16" t="str">
        <x:v>Collection copy and grid complete</x:v>
      </x:c>
    </x:row>
    <x:row r="11" ht="34" customHeight="1">
      <x:c r="A11" s="16" t="str">
        <x:v>7</x:v>
      </x:c>
      <x:c r="B11" s="16" t="str">
        <x:v>Collections</x:v>
      </x:c>
      <x:c r="C11" s="16" t="str">
        <x:v>Adjustable Beds</x:v>
      </x:c>
      <x:c r="D11" s="16" t="str">
        <x:v>Client + Writer</x:v>
      </x:c>
      <x:c r="E11" s="16" t="str">
        <x:v>P0</x:v>
      </x:c>
      <x:c r="F11" s="16" t="str">
        <x:v>Blocked</x:v>
      </x:c>
      <x:c r="G11" s="16" t="str">
        <x:v>Confirmed adjustable product range</x:v>
      </x:c>
      <x:c r="H11" s="16" t="str">
        <x:v>Collection approved</x:v>
      </x:c>
    </x:row>
    <x:row r="12" ht="34" customHeight="1">
      <x:c r="A12" s="16" t="str">
        <x:v>8</x:v>
      </x:c>
      <x:c r="B12" s="16" t="str">
        <x:v>Trust</x:v>
      </x:c>
      <x:c r="C12" s="16" t="str">
        <x:v>About / Contact</x:v>
      </x:c>
      <x:c r="D12" s="16" t="str">
        <x:v>Writer</x:v>
      </x:c>
      <x:c r="E12" s="16" t="str">
        <x:v>P1</x:v>
      </x:c>
      <x:c r="F12" s="16" t="str">
        <x:v>Not started</x:v>
      </x:c>
      <x:c r="G12" s="16" t="str">
        <x:v>Brand story and team proof</x:v>
      </x:c>
      <x:c r="H12" s="16" t="str">
        <x:v>Trust pages complete</x:v>
      </x:c>
    </x:row>
    <x:row r="13" ht="34" customHeight="1">
      <x:c r="A13" s="16" t="str">
        <x:v>9</x:v>
      </x:c>
      <x:c r="B13" s="16" t="str">
        <x:v>Trust</x:v>
      </x:c>
      <x:c r="C13" s="16" t="str">
        <x:v>Delivery / Warranty / Returns / Finance</x:v>
      </x:c>
      <x:c r="D13" s="16" t="str">
        <x:v>Client + Writer</x:v>
      </x:c>
      <x:c r="E13" s="16" t="str">
        <x:v>P1</x:v>
      </x:c>
      <x:c r="F13" s="16" t="str">
        <x:v>Blocked</x:v>
      </x:c>
      <x:c r="G13" s="16" t="str">
        <x:v>Approved policy wording</x:v>
      </x:c>
      <x:c r="H13" s="16" t="str">
        <x:v>Support pages published</x:v>
      </x:c>
    </x:row>
    <x:row r="14" ht="34" customHeight="1">
      <x:c r="A14" s="16" t="str">
        <x:v>10</x:v>
      </x:c>
      <x:c r="B14" s="16" t="str">
        <x:v>Guidance</x:v>
      </x:c>
      <x:c r="C14" s="16" t="str">
        <x:v>SleepMatch</x:v>
      </x:c>
      <x:c r="D14" s="16" t="str">
        <x:v>SEO + UX</x:v>
      </x:c>
      <x:c r="E14" s="16" t="str">
        <x:v>P1</x:v>
      </x:c>
      <x:c r="F14" s="16" t="str">
        <x:v>Not started</x:v>
      </x:c>
      <x:c r="G14" s="16" t="str">
        <x:v>Normalised filters and reviewed guidance</x:v>
      </x:c>
      <x:c r="H14" s="16" t="str">
        <x:v>Selector and landing page complete</x:v>
      </x:c>
    </x:row>
    <x:row r="15" ht="34" customHeight="1">
      <x:c r="A15" s="16" t="str">
        <x:v>11</x:v>
      </x:c>
      <x:c r="B15" s="16" t="str">
        <x:v>Products</x:v>
      </x:c>
      <x:c r="C15" s="16" t="str">
        <x:v>Core catalogue</x:v>
      </x:c>
      <x:c r="D15" s="16" t="str">
        <x:v>Writer + Merchandising</x:v>
      </x:c>
      <x:c r="E15" s="16" t="str">
        <x:v>P1</x:v>
      </x:c>
      <x:c r="F15" s="16" t="str">
        <x:v>Not started</x:v>
      </x:c>
      <x:c r="G15" s="16" t="str">
        <x:v>Client-approved Core list</x:v>
      </x:c>
      <x:c r="H15" s="16" t="str">
        <x:v>Priority products rewritten and QA'd</x:v>
      </x:c>
    </x:row>
    <x:row r="16" ht="34" customHeight="1">
      <x:c r="A16" s="16" t="str">
        <x:v>12</x:v>
      </x:c>
      <x:c r="B16" s="16" t="str">
        <x:v>Guides</x:v>
      </x:c>
      <x:c r="C16" s="16" t="str">
        <x:v>Feel and sleeper guides</x:v>
      </x:c>
      <x:c r="D16" s="16" t="str">
        <x:v>SEO Writer</x:v>
      </x:c>
      <x:c r="E16" s="16" t="str">
        <x:v>P2</x:v>
      </x:c>
      <x:c r="F16" s="16" t="str">
        <x:v>Not started</x:v>
      </x:c>
      <x:c r="G16" s="16" t="str">
        <x:v>Product mapping and evidence</x:v>
      </x:c>
      <x:c r="H16" s="16" t="str">
        <x:v>First guide cluster published</x:v>
      </x:c>
    </x:row>
    <x:row r="17" ht="34" customHeight="1">
      <x:c r="A17" s="16" t="str">
        <x:v>13</x:v>
      </x:c>
      <x:c r="B17" s="16" t="str">
        <x:v>Launch</x:v>
      </x:c>
      <x:c r="C17" s="16" t="str">
        <x:v>SEO, schema, tracking, mobile, checkout QA</x:v>
      </x:c>
      <x:c r="D17" s="16" t="str">
        <x:v>SEO + Developer</x:v>
      </x:c>
      <x:c r="E17" s="16" t="str">
        <x:v>P0</x:v>
      </x:c>
      <x:c r="F17" s="16" t="str">
        <x:v>Not started</x:v>
      </x:c>
      <x:c r="G17" s="16" t="str">
        <x:v>All launch pages staged</x:v>
      </x:c>
      <x:c r="H17" s="16" t="str">
        <x:v>Signed-off release checklist</x:v>
      </x:c>
    </x:row>
  </x:sheetData>
  <x:mergeCells>
    <x:mergeCell ref="A1:H1"/>
    <x:mergeCell ref="A2:H2"/>
  </x:mergeCells>
  <x:dataValidations count="1">
    <x:dataValidation type="list" sqref="F5:F17">
      <x:formula1>"Not started,In progress,Blocked,Ready for QA,Complete"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f9357e169ff4dc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3" hidden="0" customWidth="1"/>
    <x:col min="3" max="3" width="12" hidden="0" customWidth="1"/>
    <x:col min="4" max="4" width="53" hidden="0" customWidth="1"/>
    <x:col min="5" max="5" width="24" hidden="0" customWidth="1"/>
    <x:col min="6" max="6" width="14" hidden="0" customWidth="1"/>
  </x:cols>
  <x:sheetData>
    <x:row r="1" ht="30" customHeight="1">
      <x:c r="A1" s="3" t="str">
        <x:v>Launch And Migration QA</x:v>
      </x:c>
      <x:c r="B1" s="3"/>
      <x:c r="C1" s="3"/>
      <x:c r="D1" s="3"/>
      <x:c r="E1" s="3"/>
      <x:c r="F1" s="3"/>
    </x:row>
    <x:row r="2" ht="34" customHeight="1">
      <x:c r="A2" s="7" t="str">
        <x:v>Work through this before publishing the Prestige theme. Old products or files should be archived/reviewed, not permanently removed without approval.</x:v>
      </x:c>
      <x:c r="B2" s="7"/>
      <x:c r="C2" s="7"/>
      <x:c r="D2" s="7"/>
      <x:c r="E2" s="7"/>
      <x:c r="F2" s="7"/>
    </x:row>
    <x:row r="4" ht="30" customHeight="1">
      <x:c r="A4" s="12" t="str">
        <x:v>Area</x:v>
      </x:c>
      <x:c r="B4" s="12" t="str">
        <x:v>Finding / Requirement</x:v>
      </x:c>
      <x:c r="C4" s="12" t="str">
        <x:v>Risk</x:v>
      </x:c>
      <x:c r="D4" s="12" t="str">
        <x:v>Action</x:v>
      </x:c>
      <x:c r="E4" s="12" t="str">
        <x:v>Owner</x:v>
      </x:c>
      <x:c r="F4" s="12" t="str">
        <x:v>Status</x:v>
      </x:c>
    </x:row>
    <x:row r="5" ht="34" customHeight="1">
      <x:c r="A5" s="16" t="str">
        <x:v>Theme</x:v>
      </x:c>
      <x:c r="B5" s="16" t="str">
        <x:v>Published theme is Horizon/Radiant, not Prestige</x:v>
      </x:c>
      <x:c r="C5" s="16" t="str">
        <x:v>High</x:v>
      </x:c>
      <x:c r="D5" s="16" t="str">
        <x:v>Confirm Prestige licence; install as unpublished theme</x:v>
      </x:c>
      <x:c r="E5" s="16" t="str">
        <x:v>Client / Developer</x:v>
      </x:c>
      <x:c r="F5" s="16" t="str">
        <x:v>Open</x:v>
      </x:c>
    </x:row>
    <x:row r="6" ht="34" customHeight="1">
      <x:c r="A6" s="16" t="str">
        <x:v>Catalogue</x:v>
      </x:c>
      <x:c r="B6" s="16" t="str">
        <x:v>114 product URLs are currently in the live sitemap</x:v>
      </x:c>
      <x:c r="C6" s="16" t="str">
        <x:v>High</x:v>
      </x:c>
      <x:c r="D6" s="16" t="str">
        <x:v>Approve launch assortment before full build</x:v>
      </x:c>
      <x:c r="E6" s="16" t="str">
        <x:v>Client / Merchandising</x:v>
      </x:c>
      <x:c r="F6" s="16" t="str">
        <x:v>Open</x:v>
      </x:c>
    </x:row>
    <x:row r="7" ht="34" customHeight="1">
      <x:c r="A7" s="16" t="str">
        <x:v>Collections</x:v>
      </x:c>
      <x:c r="B7" s="16" t="str">
        <x:v>Only two collection URLs are in the live sitemap</x:v>
      </x:c>
      <x:c r="C7" s="16" t="str">
        <x:v>High</x:v>
      </x:c>
      <x:c r="D7" s="16" t="str">
        <x:v>Build the six priority collections</x:v>
      </x:c>
      <x:c r="E7" s="16" t="str">
        <x:v>Developer / SEO</x:v>
      </x:c>
      <x:c r="F7" s="16" t="str">
        <x:v>Open</x:v>
      </x:c>
    </x:row>
    <x:row r="8" ht="34" customHeight="1">
      <x:c r="A8" s="16" t="str">
        <x:v>Pages</x:v>
      </x:c>
      <x:c r="B8" s="16" t="str">
        <x:v>Only the contact page appears in the standard page sitemap</x:v>
      </x:c>
      <x:c r="C8" s="16" t="str">
        <x:v>High</x:v>
      </x:c>
      <x:c r="D8" s="16" t="str">
        <x:v>Build showroom, trust and support pages</x:v>
      </x:c>
      <x:c r="E8" s="16" t="str">
        <x:v>Writer / Developer</x:v>
      </x:c>
      <x:c r="F8" s="16" t="str">
        <x:v>Open</x:v>
      </x:c>
    </x:row>
    <x:row r="9" ht="34" customHeight="1">
      <x:c r="A9" s="16" t="str">
        <x:v>Brand leakage</x:v>
      </x:c>
      <x:c r="B9" s="16" t="str">
        <x:v>Budget Beds wording exists in imported catalogue content</x:v>
      </x:c>
      <x:c r="C9" s="16" t="str">
        <x:v>High</x:v>
      </x:c>
      <x:c r="D9" s="16" t="str">
        <x:v>Rewrite and clean title, body, alt text and metadata</x:v>
      </x:c>
      <x:c r="E9" s="16" t="str">
        <x:v>Writer / Merchandising</x:v>
      </x:c>
      <x:c r="F9" s="16" t="str">
        <x:v>Open</x:v>
      </x:c>
    </x:row>
    <x:row r="10" ht="34" customHeight="1">
      <x:c r="A10" s="16" t="str">
        <x:v>Positioning</x:v>
      </x:c>
      <x:c r="B10" s="16" t="str">
        <x:v>Mixed value/sofa/bunk products weaken premium focus</x:v>
      </x:c>
      <x:c r="C10" s="16" t="str">
        <x:v>High</x:v>
      </x:c>
      <x:c r="D10" s="16" t="str">
        <x:v>Review Exclude/archive candidates; do not auto-delete</x:v>
      </x:c>
      <x:c r="E10" s="16" t="str">
        <x:v>Client / Merchandising</x:v>
      </x:c>
      <x:c r="F10" s="16" t="str">
        <x:v>Open</x:v>
      </x:c>
    </x:row>
    <x:row r="11" ht="34" customHeight="1">
      <x:c r="A11" s="16" t="str">
        <x:v>Metadata</x:v>
      </x:c>
      <x:c r="B11" s="16" t="str">
        <x:v>Homepage meta description is incomplete</x:v>
      </x:c>
      <x:c r="C11" s="16" t="str">
        <x:v>High</x:v>
      </x:c>
      <x:c r="D11" s="16" t="str">
        <x:v>Write and deploy unique title/description</x:v>
      </x:c>
      <x:c r="E11" s="16" t="str">
        <x:v>SEO</x:v>
      </x:c>
      <x:c r="F11" s="16" t="str">
        <x:v>Open</x:v>
      </x:c>
    </x:row>
    <x:row r="12" ht="34" customHeight="1">
      <x:c r="A12" s="16" t="str">
        <x:v>Filters</x:v>
      </x:c>
      <x:c r="B12" s="16" t="str">
        <x:v>Foam/Spring column is blank</x:v>
      </x:c>
      <x:c r="C12" s="16" t="str">
        <x:v>Medium</x:v>
      </x:c>
      <x:c r="D12" s="16" t="str">
        <x:v>Use Size, Feel and Sleeper Type; normalise values</x:v>
      </x:c>
      <x:c r="E12" s="16" t="str">
        <x:v>Merchandising</x:v>
      </x:c>
      <x:c r="F12" s="16" t="str">
        <x:v>Open</x:v>
      </x:c>
    </x:row>
    <x:row r="13" ht="34" customHeight="1">
      <x:c r="A13" s="16" t="str">
        <x:v>Local</x:v>
      </x:c>
      <x:c r="B13" s="16" t="str">
        <x:v>Hours, parking and map details are unconfirmed</x:v>
      </x:c>
      <x:c r="C13" s="16" t="str">
        <x:v>High</x:v>
      </x:c>
      <x:c r="D13" s="16" t="str">
        <x:v>Confirm before showroom page launch</x:v>
      </x:c>
      <x:c r="E13" s="16" t="str">
        <x:v>Client</x:v>
      </x:c>
      <x:c r="F13" s="16" t="str">
        <x:v>Blocked</x:v>
      </x:c>
    </x:row>
    <x:row r="14" ht="34" customHeight="1">
      <x:c r="A14" s="16" t="str">
        <x:v>Policies</x:v>
      </x:c>
      <x:c r="B14" s="16" t="str">
        <x:v>Delivery, warranty, returns and finance wording pending</x:v>
      </x:c>
      <x:c r="C14" s="16" t="str">
        <x:v>High</x:v>
      </x:c>
      <x:c r="D14" s="16" t="str">
        <x:v>Obtain client-approved copy</x:v>
      </x:c>
      <x:c r="E14" s="16" t="str">
        <x:v>Client</x:v>
      </x:c>
      <x:c r="F14" s="16" t="str">
        <x:v>Blocked</x:v>
      </x:c>
    </x:row>
    <x:row r="15" ht="34" customHeight="1">
      <x:c r="A15" s="16" t="str">
        <x:v>Tracking</x:v>
      </x:c>
      <x:c r="B15" s="16" t="str">
        <x:v>Formal GSC/rank baseline not available</x:v>
      </x:c>
      <x:c r="C15" s="16" t="str">
        <x:v>High</x:v>
      </x:c>
      <x:c r="D15" s="16" t="str">
        <x:v>Verify GSC, GA4 and rank tracker</x:v>
      </x:c>
      <x:c r="E15" s="16" t="str">
        <x:v>SEO</x:v>
      </x:c>
      <x:c r="F15" s="16" t="str">
        <x:v>Open</x:v>
      </x:c>
    </x:row>
    <x:row r="16" ht="34" customHeight="1">
      <x:c r="A16" s="16" t="str">
        <x:v>Schema</x:v>
      </x:c>
      <x:c r="B16" s="16" t="str">
        <x:v>Full Product, Breadcrumb and Local schema QA pending</x:v>
      </x:c>
      <x:c r="C16" s="16" t="str">
        <x:v>Medium</x:v>
      </x:c>
      <x:c r="D16" s="16" t="str">
        <x:v>Validate after templates are built</x:v>
      </x:c>
      <x:c r="E16" s="16" t="str">
        <x:v>Developer / SEO</x:v>
      </x:c>
      <x:c r="F16" s="16" t="str">
        <x:v>Open</x:v>
      </x:c>
    </x:row>
    <x:row r="17" ht="34" customHeight="1">
      <x:c r="A17" s="16" t="str">
        <x:v>Images</x:v>
      </x:c>
      <x:c r="B17" s="16" t="str">
        <x:v>Client assets recovered; usage rights/placement need confirmation</x:v>
      </x:c>
      <x:c r="C17" s="16" t="str">
        <x:v>Medium</x:v>
      </x:c>
      <x:c r="D17" s="16" t="str">
        <x:v>Approve and create web derivatives</x:v>
      </x:c>
      <x:c r="E17" s="16" t="str">
        <x:v>Client / Designer</x:v>
      </x:c>
      <x:c r="F17" s="16" t="str">
        <x:v>Open</x:v>
      </x:c>
    </x:row>
    <x:row r="18" ht="34" customHeight="1">
      <x:c r="A18" s="16" t="str">
        <x:v>Mobile</x:v>
      </x:c>
      <x:c r="B18" s="16" t="str">
        <x:v>Prestige mobile menu and filters not yet built</x:v>
      </x:c>
      <x:c r="C18" s="16" t="str">
        <x:v>High</x:v>
      </x:c>
      <x:c r="D18" s="16" t="str">
        <x:v>QA navigation, product filters and CTAs</x:v>
      </x:c>
      <x:c r="E18" s="16" t="str">
        <x:v>Developer / QA</x:v>
      </x:c>
      <x:c r="F18" s="16" t="str">
        <x:v>Open</x:v>
      </x:c>
    </x:row>
    <x:row r="19" ht="34" customHeight="1">
      <x:c r="A19" s="16" t="str">
        <x:v>Checkout</x:v>
      </x:c>
      <x:c r="B19" s="16" t="str">
        <x:v>Purchase path/ecommerce scope needs confirmation</x:v>
      </x:c>
      <x:c r="C19" s="16" t="str">
        <x:v>High</x:v>
      </x:c>
      <x:c r="D19" s="16" t="str">
        <x:v>Test cart, payments, shipping and notifications</x:v>
      </x:c>
      <x:c r="E19" s="16" t="str">
        <x:v>Client / Developer</x:v>
      </x:c>
      <x:c r="F19" s="16" t="str">
        <x:v>Open</x:v>
      </x:c>
    </x:row>
    <x:row r="20" ht="34" customHeight="1">
      <x:c r="A20" s="16" t="str">
        <x:v>Redirects</x:v>
      </x:c>
      <x:c r="B20" s="16" t="str">
        <x:v>URL changes may affect existing signals</x:v>
      </x:c>
      <x:c r="C20" s="16" t="str">
        <x:v>High</x:v>
      </x:c>
      <x:c r="D20" s="16" t="str">
        <x:v>Map redirects before changing/removing live URLs</x:v>
      </x:c>
      <x:c r="E20" s="16" t="str">
        <x:v>SEO / Developer</x:v>
      </x:c>
      <x:c r="F20" s="16" t="str">
        <x:v>Open</x:v>
      </x:c>
    </x:row>
  </x:sheetData>
  <x:mergeCells>
    <x:mergeCell ref="A1:F1"/>
    <x:mergeCell ref="A2:F2"/>
  </x:mergeCells>
  <x:conditionalFormatting sqref="C5:C20">
    <x:cfRule type="containsText" dxfId="4" priority="1" operator="containsText" text="High"/>
  </x:conditionalFormatting>
  <x:pageMargins left="0.7" right="0.7" top="0.75" bottom="0.75" header="0.3" footer="0.3"/>
  <x:tableParts count="1">
    <x:tablePart xmlns:r="http://schemas.openxmlformats.org/officeDocument/2006/relationships" r:id="Rbb18c39874b04a8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41" hidden="0" customWidth="1"/>
    <x:col min="4" max="4" width="50" hidden="0" customWidth="1"/>
    <x:col min="5" max="5" width="66" hidden="0" customWidth="1"/>
  </x:cols>
  <x:sheetData>
    <x:row r="1" ht="30" customHeight="1">
      <x:c r="A1" s="3" t="str">
        <x:v>Competitor And SERP Snapshot</x:v>
      </x:c>
      <x:c r="B1" s="3"/>
      <x:c r="C1" s="3"/>
      <x:c r="D1" s="3"/>
      <x:c r="E1" s="3"/>
    </x:row>
    <x:row r="2" ht="34" customHeight="1">
      <x:c r="A2" s="7" t="str">
        <x:v>Public research snapshot for positioning and content gaps, not a full paid rank-tracker report.</x:v>
      </x:c>
      <x:c r="B2" s="7"/>
      <x:c r="C2" s="7"/>
      <x:c r="D2" s="7"/>
      <x:c r="E2" s="7"/>
    </x:row>
    <x:row r="4" ht="30" customHeight="1">
      <x:c r="A4" s="12" t="str">
        <x:v>Competitor</x:v>
      </x:c>
      <x:c r="B4" s="12" t="str">
        <x:v>Market</x:v>
      </x:c>
      <x:c r="C4" s="12" t="str">
        <x:v>Visible Strength</x:v>
      </x:c>
      <x:c r="D4" s="12" t="str">
        <x:v>Bed Studio Response</x:v>
      </x:c>
      <x:c r="E4" s="12" t="str">
        <x:v>Source</x:v>
      </x:c>
    </x:row>
    <x:row r="5" ht="34" customHeight="1">
      <x:c r="A5" s="16" t="str">
        <x:v>Bedpost Newmarket</x:v>
      </x:c>
      <x:c r="B5" s="16" t="str">
        <x:v>Newmarket</x:v>
      </x:c>
      <x:c r="C5" s="16" t="str">
        <x:v>Local store page and established retail trust</x:v>
      </x:c>
      <x:c r="D5" s="16" t="str">
        <x:v>Build richer showroom proof and guided comparison</x:v>
      </x:c>
      <x:c r="E5" s="16" t="str">
        <x:v>https://www.bedpost.co.nz/stores/detail/newmarket</x:v>
      </x:c>
    </x:row>
    <x:row r="6" ht="34" customHeight="1">
      <x:c r="A6" s="16" t="str">
        <x:v>Beds R Us / Sealy</x:v>
      </x:c>
      <x:c r="B6" s="16" t="str">
        <x:v>Newmarket</x:v>
      </x:c>
      <x:c r="C6" s="16" t="str">
        <x:v>Recognised retail and brand footprint</x:v>
      </x:c>
      <x:c r="D6" s="16" t="str">
        <x:v>Differentiate with customisation and real advice</x:v>
      </x:c>
      <x:c r="E6" s="16" t="str">
        <x:v>Public search spot-check; verify local pages</x:v>
      </x:c>
    </x:row>
    <x:row r="7" ht="34" customHeight="1">
      <x:c r="A7" s="16" t="str">
        <x:v>HEKA</x:v>
      </x:c>
      <x:c r="B7" s="16" t="str">
        <x:v>Newmarket</x:v>
      </x:c>
      <x:c r="C7" s="16" t="str">
        <x:v>Premium showroom relevance</x:v>
      </x:c>
      <x:c r="D7" s="16" t="str">
        <x:v>Make Bed Studio's NZ-made/custom proposition concrete</x:v>
      </x:c>
      <x:c r="E7" s="16" t="str">
        <x:v>Public search spot-check; verify official page</x:v>
      </x:c>
    </x:row>
    <x:row r="8" ht="34" customHeight="1">
      <x:c r="A8" s="16" t="str">
        <x:v>Sleep Gallery</x:v>
      </x:c>
      <x:c r="B8" s="16" t="str">
        <x:v>Auckland/NZ</x:v>
      </x:c>
      <x:c r="C8" s="16" t="str">
        <x:v>Specialist range and category visibility</x:v>
      </x:c>
      <x:c r="D8" s="16" t="str">
        <x:v>Stronger local proof and SleepMatch UX</x:v>
      </x:c>
      <x:c r="E8" s="16" t="str">
        <x:v>https://www.sleepgallery.co.nz/</x:v>
      </x:c>
    </x:row>
    <x:row r="9" ht="34" customHeight="1">
      <x:c r="A9" s="16" t="str">
        <x:v>Simply Beds</x:v>
      </x:c>
      <x:c r="B9" s="16" t="str">
        <x:v>Auckland/NZ</x:v>
      </x:c>
      <x:c r="C9" s="16" t="str">
        <x:v>Broad bed/mattress retail coverage</x:v>
      </x:c>
      <x:c r="D9" s="16" t="str">
        <x:v>Premium curation, showroom service and content depth</x:v>
      </x:c>
      <x:c r="E9" s="16" t="str">
        <x:v>https://simplybedsnz.co.nz/</x:v>
      </x:c>
    </x:row>
    <x:row r="10" ht="34" customHeight="1">
      <x:c r="A10" s="16" t="str">
        <x:v>Natural Beds</x:v>
      </x:c>
      <x:c r="B10" s="16" t="str">
        <x:v>NZ</x:v>
      </x:c>
      <x:c r="C10" s="16" t="str">
        <x:v>Natural/premium specialist message</x:v>
      </x:c>
      <x:c r="D10" s="16" t="str">
        <x:v>Clarify Bed Studio materials and NZ-made proof</x:v>
      </x:c>
      <x:c r="E10" s="16" t="str">
        <x:v>https://naturalbeds.nz/</x:v>
      </x:c>
    </x:row>
    <x:row r="11" ht="34" customHeight="1">
      <x:c r="A11" s="16" t="str">
        <x:v>Napp</x:v>
      </x:c>
      <x:c r="B11" s="16" t="str">
        <x:v>Auckland/NZ</x:v>
      </x:c>
      <x:c r="C11" s="16" t="str">
        <x:v>Visible adjustable-bed proposition</x:v>
      </x:c>
      <x:c r="D11" s="16" t="str">
        <x:v>Build a verified adjustable range and showroom trial CTA</x:v>
      </x:c>
      <x:c r="E11" s="16" t="str">
        <x:v>https://napp.co.nz/pages/contact-us</x:v>
      </x:c>
    </x:row>
    <x:row r="12" ht="34" customHeight="1">
      <x:c r="A12" s="16" t="str">
        <x:v>Ecosa</x:v>
      </x:c>
      <x:c r="B12" s="16" t="str">
        <x:v>NZ</x:v>
      </x:c>
      <x:c r="C12" s="16" t="str">
        <x:v>Strong sleeper-led guide content</x:v>
      </x:c>
      <x:c r="D12" s="16" t="str">
        <x:v>Create credible SleepMatch and internally linked guides</x:v>
      </x:c>
      <x:c r="E12" s="16" t="str">
        <x:v>https://www.ecosa.co.nz/blog/post/what-is-the-best-mattress-for-side-sleepers.html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3f4ff5605ef149e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7" hidden="0" customWidth="1"/>
    <x:col min="3" max="3" width="54" hidden="0" customWidth="1"/>
    <x:col min="4" max="4" width="52" hidden="0" customWidth="1"/>
    <x:col min="5" max="5" width="31" hidden="0" customWidth="1"/>
  </x:cols>
  <x:sheetData>
    <x:row r="1" ht="30" customHeight="1">
      <x:c r="A1" s="3" t="str">
        <x:v>Bed Studio Asset Register</x:v>
      </x:c>
      <x:c r="B1" s="3"/>
      <x:c r="C1" s="3"/>
      <x:c r="D1" s="3"/>
      <x:c r="E1" s="3"/>
    </x:row>
    <x:row r="2" ht="34" customHeight="1">
      <x:c r="A2" s="7" t="str">
        <x:v>Client-supplied originals remain untouched. Create optimised derivatives during production.</x:v>
      </x:c>
      <x:c r="B2" s="7"/>
      <x:c r="C2" s="7"/>
      <x:c r="D2" s="7"/>
      <x:c r="E2" s="7"/>
    </x:row>
    <x:row r="4" ht="30" customHeight="1">
      <x:c r="A4" s="12" t="str">
        <x:v>File</x:v>
      </x:c>
      <x:c r="B4" s="12" t="str">
        <x:v>Source</x:v>
      </x:c>
      <x:c r="C4" s="12" t="str">
        <x:v>Suggested Use</x:v>
      </x:c>
      <x:c r="D4" s="12" t="str">
        <x:v>Approval / Guardrail</x:v>
      </x:c>
      <x:c r="E4" s="12" t="str">
        <x:v>Status</x:v>
      </x:c>
    </x:row>
    <x:row r="5" ht="34" customHeight="1">
      <x:c r="A5" s="16" t="str">
        <x:v>1.jpg</x:v>
      </x:c>
      <x:c r="B5" s="16" t="str">
        <x:v>Client email, 15 July 2026</x:v>
      </x:c>
      <x:c r="C5" s="16" t="str">
        <x:v>Launch page preference indicated in 18 July email</x:v>
      </x:c>
      <x:c r="D5" s="16" t="str">
        <x:v>Confirm usage rights and final placement</x:v>
      </x:c>
      <x:c r="E5" s="16" t="str">
        <x:v>Recovered locally and prepared for Drive</x:v>
      </x:c>
    </x:row>
    <x:row r="6" ht="34" customHeight="1">
      <x:c r="A6" s="16" t="str">
        <x:v>1a.jpg</x:v>
      </x:c>
      <x:c r="B6" s="16" t="str">
        <x:v>Client email, 15 July 2026</x:v>
      </x:c>
      <x:c r="C6" s="16" t="str">
        <x:v>Bed Studio product/lifestyle image</x:v>
      </x:c>
      <x:c r="D6" s="16" t="str">
        <x:v>Confirm usage rights and final placement</x:v>
      </x:c>
      <x:c r="E6" s="16" t="str">
        <x:v>Recovered locally and prepared for Drive</x:v>
      </x:c>
    </x:row>
    <x:row r="7" ht="34" customHeight="1">
      <x:c r="A7" s="16" t="str">
        <x:v>1b.jpg</x:v>
      </x:c>
      <x:c r="B7" s="16" t="str">
        <x:v>Client email, 15 July 2026</x:v>
      </x:c>
      <x:c r="C7" s="16" t="str">
        <x:v>Launch page preference indicated in 18 July email</x:v>
      </x:c>
      <x:c r="D7" s="16" t="str">
        <x:v>Confirm usage rights and final placement</x:v>
      </x:c>
      <x:c r="E7" s="16" t="str">
        <x:v>Recovered locally and prepared for Drive</x:v>
      </x:c>
    </x:row>
    <x:row r="8" ht="34" customHeight="1">
      <x:c r="A8" s="16" t="str">
        <x:v>1c.jpg</x:v>
      </x:c>
      <x:c r="B8" s="16" t="str">
        <x:v>Client email, 15 July 2026</x:v>
      </x:c>
      <x:c r="C8" s="16" t="str">
        <x:v>Bed Studio product/lifestyle image</x:v>
      </x:c>
      <x:c r="D8" s="16" t="str">
        <x:v>Confirm usage rights and final placement</x:v>
      </x:c>
      <x:c r="E8" s="16" t="str">
        <x:v>Recovered locally and prepared for Drive</x:v>
      </x:c>
    </x:row>
    <x:row r="9" ht="34" customHeight="1">
      <x:c r="A9" s="16" t="str">
        <x:v>1..jpg</x:v>
      </x:c>
      <x:c r="B9" s="16" t="str">
        <x:v>Client email, 15 July 2026</x:v>
      </x:c>
      <x:c r="C9" s="16" t="str">
        <x:v>Bed Studio product/lifestyle image</x:v>
      </x:c>
      <x:c r="D9" s="16" t="str">
        <x:v>Confirm usage rights and final placement</x:v>
      </x:c>
      <x:c r="E9" s="16" t="str">
        <x:v>Recovered locally and prepared for Drive</x:v>
      </x:c>
    </x:row>
    <x:row r="10" ht="34" customHeight="1">
      <x:c r="A10" s="16" t="str">
        <x:v>2.jpg</x:v>
      </x:c>
      <x:c r="B10" s="16" t="str">
        <x:v>Client email, 15 July 2026</x:v>
      </x:c>
      <x:c r="C10" s="16" t="str">
        <x:v>Bed Studio product/lifestyle image</x:v>
      </x:c>
      <x:c r="D10" s="16" t="str">
        <x:v>Confirm usage rights and final placement</x:v>
      </x:c>
      <x:c r="E10" s="16" t="str">
        <x:v>Recovered locally and prepared for Drive</x:v>
      </x:c>
    </x:row>
    <x:row r="11" ht="34" customHeight="1">
      <x:c r="A11" s="16" t="str">
        <x:v>2..jpg</x:v>
      </x:c>
      <x:c r="B11" s="16" t="str">
        <x:v>Client email, 15 July 2026</x:v>
      </x:c>
      <x:c r="C11" s="16" t="str">
        <x:v>Bed Studio product/lifestyle image</x:v>
      </x:c>
      <x:c r="D11" s="16" t="str">
        <x:v>Confirm usage rights and final placement</x:v>
      </x:c>
      <x:c r="E11" s="16" t="str">
        <x:v>Recovered locally and prepared for Drive</x:v>
      </x:c>
    </x:row>
    <x:row r="12" ht="34" customHeight="1">
      <x:c r="A12" s="16" t="str">
        <x:v>3.jpg</x:v>
      </x:c>
      <x:c r="B12" s="16" t="str">
        <x:v>Client email, 15 July 2026</x:v>
      </x:c>
      <x:c r="C12" s="16" t="str">
        <x:v>Bed Studio product/lifestyle image</x:v>
      </x:c>
      <x:c r="D12" s="16" t="str">
        <x:v>Confirm usage rights and final placement</x:v>
      </x:c>
      <x:c r="E12" s="16" t="str">
        <x:v>Recovered locally and prepared for Drive</x:v>
      </x:c>
    </x:row>
    <x:row r="13" ht="34" customHeight="1">
      <x:c r="A13" s="16" t="str">
        <x:v>4.jpg</x:v>
      </x:c>
      <x:c r="B13" s="16" t="str">
        <x:v>Client email, 15 July 2026</x:v>
      </x:c>
      <x:c r="C13" s="16" t="str">
        <x:v>Bed Studio product/lifestyle image</x:v>
      </x:c>
      <x:c r="D13" s="16" t="str">
        <x:v>Confirm usage rights and final placement</x:v>
      </x:c>
      <x:c r="E13" s="16" t="str">
        <x:v>Recovered locally and prepared for Drive</x:v>
      </x:c>
    </x:row>
    <x:row r="14" ht="34" customHeight="1">
      <x:c r="A14" s="16" t="str">
        <x:v>4 copy.jpg</x:v>
      </x:c>
      <x:c r="B14" s="16" t="str">
        <x:v>Client email, 15 July 2026</x:v>
      </x:c>
      <x:c r="C14" s="16" t="str">
        <x:v>Bed Studio product/lifestyle image</x:v>
      </x:c>
      <x:c r="D14" s="16" t="str">
        <x:v>Confirm usage rights and final placement</x:v>
      </x:c>
      <x:c r="E14" s="16" t="str">
        <x:v>Recovered locally and prepared for Drive</x:v>
      </x:c>
    </x:row>
    <x:row r="15" ht="34" customHeight="1">
      <x:c r="A15" s="16" t="str">
        <x:v>5 MLily.jpg</x:v>
      </x:c>
      <x:c r="B15" s="16" t="str">
        <x:v>Client email, 15 July 2026</x:v>
      </x:c>
      <x:c r="C15" s="16" t="str">
        <x:v>Bed Studio product/lifestyle image</x:v>
      </x:c>
      <x:c r="D15" s="16" t="str">
        <x:v>Confirm usage rights and final placement</x:v>
      </x:c>
      <x:c r="E15" s="16" t="str">
        <x:v>Recovered locally and prepared for Drive</x:v>
      </x:c>
    </x:row>
    <x:row r="16" ht="34" customHeight="1">
      <x:c r="A16" s="16" t="str">
        <x:v>bedstudio-image-map-2026-07-15.pdf</x:v>
      </x:c>
      <x:c r="B16" s="16" t="str">
        <x:v>Client email, 15 July 2026</x:v>
      </x:c>
      <x:c r="C16" s="16" t="str">
        <x:v>Five-page MLILY product reference: Polar Wave, Carbon Cool and Onyx</x:v>
      </x:c>
      <x:c r="D16" s="16" t="str">
        <x:v>Use claims only after supplier/client verification</x:v>
      </x:c>
      <x:c r="E16" s="16" t="str">
        <x:v>Recovered locally and prepared for Drive</x:v>
      </x:c>
    </x:row>
    <x:row r="17" ht="34" customHeight="1">
      <x:c r="A17" s="16" t="str">
        <x:v>bedstudio-logo.png</x:v>
      </x:c>
      <x:c r="B17" s="16" t="str">
        <x:v>Existing project asset</x:v>
      </x:c>
      <x:c r="C17" s="16" t="str">
        <x:v>Brand logo</x:v>
      </x:c>
      <x:c r="D17" s="16" t="str">
        <x:v>Confirm final master and obtain SVG/vector</x:v>
      </x:c>
      <x:c r="E17" s="16" t="str">
        <x:v>Existing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dab5d5f552c428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68" hidden="0" customWidth="1"/>
    <x:col min="3" max="3" width="22" hidden="0" customWidth="1"/>
    <x:col min="4" max="4" width="28" hidden="0" customWidth="1"/>
  </x:cols>
  <x:sheetData>
    <x:row r="1" ht="30" customHeight="1">
      <x:c r="A1" s="3" t="str">
        <x:v>Open Decisions And Client Inputs</x:v>
      </x:c>
      <x:c r="B1" s="3"/>
      <x:c r="C1" s="3"/>
      <x:c r="D1" s="3"/>
    </x:row>
    <x:row r="2" ht="34" customHeight="1">
      <x:c r="A2" s="7" t="str">
        <x:v>These items materially affect the website. Do not invent or publish answers.</x:v>
      </x:c>
      <x:c r="B2" s="7"/>
      <x:c r="C2" s="7"/>
      <x:c r="D2" s="7"/>
    </x:row>
    <x:row r="4" ht="30" customHeight="1">
      <x:c r="A4" s="12" t="str">
        <x:v>Area</x:v>
      </x:c>
      <x:c r="B4" s="12" t="str">
        <x:v>Question / Required Input</x:v>
      </x:c>
      <x:c r="C4" s="12" t="str">
        <x:v>Owner</x:v>
      </x:c>
      <x:c r="D4" s="12" t="str">
        <x:v>Needed By</x:v>
      </x:c>
    </x:row>
    <x:row r="5" ht="34" customHeight="1">
      <x:c r="A5" s="16" t="str">
        <x:v>Brand</x:v>
      </x:c>
      <x:c r="B5" s="16" t="str">
        <x:v>Confirm whether public styling is Bed Studio or BedStudio</x:v>
      </x:c>
      <x:c r="C5" s="16" t="str">
        <x:v>Client</x:v>
      </x:c>
      <x:c r="D5" s="16" t="str">
        <x:v>Before copy and schema</x:v>
      </x:c>
    </x:row>
    <x:row r="6" ht="34" customHeight="1">
      <x:c r="A6" s="16" t="str">
        <x:v>Theme</x:v>
      </x:c>
      <x:c r="B6" s="16" t="str">
        <x:v>Confirm Prestige purchase/licensing and implementation start</x:v>
      </x:c>
      <x:c r="C6" s="16" t="str">
        <x:v>Client</x:v>
      </x:c>
      <x:c r="D6" s="16" t="str">
        <x:v>Before build</x:v>
      </x:c>
    </x:row>
    <x:row r="7" ht="34" customHeight="1">
      <x:c r="A7" s="16" t="str">
        <x:v>Showroom</x:v>
      </x:c>
      <x:c r="B7" s="16" t="str">
        <x:v>Confirm opening hours, parking/access and Google Maps link</x:v>
      </x:c>
      <x:c r="C7" s="16" t="str">
        <x:v>Client</x:v>
      </x:c>
      <x:c r="D7" s="16" t="str">
        <x:v>Before showroom page</x:v>
      </x:c>
    </x:row>
    <x:row r="8" ht="34" customHeight="1">
      <x:c r="A8" s="16" t="str">
        <x:v>Products</x:v>
      </x:c>
      <x:c r="B8" s="16" t="str">
        <x:v>Approve Core, Support, Review and Exclude/archive candidate lists</x:v>
      </x:c>
      <x:c r="C8" s="16" t="str">
        <x:v>Client</x:v>
      </x:c>
      <x:c r="D8" s="16" t="str">
        <x:v>Before product publishing</x:v>
      </x:c>
    </x:row>
    <x:row r="9" ht="34" customHeight="1">
      <x:c r="A9" s="16" t="str">
        <x:v>Products</x:v>
      </x:c>
      <x:c r="B9" s="16" t="str">
        <x:v>Confirm which products are exclusive to Bed Studio</x:v>
      </x:c>
      <x:c r="C9" s="16" t="str">
        <x:v>Client</x:v>
      </x:c>
      <x:c r="D9" s="16" t="str">
        <x:v>Before copy</x:v>
      </x:c>
    </x:row>
    <x:row r="10" ht="34" customHeight="1">
      <x:c r="A10" s="16" t="str">
        <x:v>Products</x:v>
      </x:c>
      <x:c r="B10" s="16" t="str">
        <x:v>Confirm the adjustable-bed range</x:v>
      </x:c>
      <x:c r="C10" s="16" t="str">
        <x:v>Client</x:v>
      </x:c>
      <x:c r="D10" s="16" t="str">
        <x:v>Before collection build</x:v>
      </x:c>
    </x:row>
    <x:row r="11" ht="34" customHeight="1">
      <x:c r="A11" s="16" t="str">
        <x:v>Products</x:v>
      </x:c>
      <x:c r="B11" s="16" t="str">
        <x:v>Confirm product-specific NZ-made and customisation claims</x:v>
      </x:c>
      <x:c r="C11" s="16" t="str">
        <x:v>Client</x:v>
      </x:c>
      <x:c r="D11" s="16" t="str">
        <x:v>Before copy</x:v>
      </x:c>
    </x:row>
    <x:row r="12" ht="34" customHeight="1">
      <x:c r="A12" s="16" t="str">
        <x:v>Products</x:v>
      </x:c>
      <x:c r="B12" s="16" t="str">
        <x:v>Confirm lead times, dimensions and warranty by product</x:v>
      </x:c>
      <x:c r="C12" s="16" t="str">
        <x:v>Client</x:v>
      </x:c>
      <x:c r="D12" s="16" t="str">
        <x:v>Before product QA</x:v>
      </x:c>
    </x:row>
    <x:row r="13" ht="34" customHeight="1">
      <x:c r="A13" s="16" t="str">
        <x:v>Policies</x:v>
      </x:c>
      <x:c r="B13" s="16" t="str">
        <x:v>Approve delivery areas, fees, assembly and old-bed removal</x:v>
      </x:c>
      <x:c r="C13" s="16" t="str">
        <x:v>Client</x:v>
      </x:c>
      <x:c r="D13" s="16" t="str">
        <x:v>Before support pages</x:v>
      </x:c>
    </x:row>
    <x:row r="14" ht="34" customHeight="1">
      <x:c r="A14" s="16" t="str">
        <x:v>Policies</x:v>
      </x:c>
      <x:c r="B14" s="16" t="str">
        <x:v>Approve warranty, returns and restocking wording</x:v>
      </x:c>
      <x:c r="C14" s="16" t="str">
        <x:v>Client</x:v>
      </x:c>
      <x:c r="D14" s="16" t="str">
        <x:v>Before support pages</x:v>
      </x:c>
    </x:row>
    <x:row r="15" ht="34" customHeight="1">
      <x:c r="A15" s="16" t="str">
        <x:v>Finance</x:v>
      </x:c>
      <x:c r="B15" s="16" t="str">
        <x:v>Confirm providers, eligibility and any offer terms</x:v>
      </x:c>
      <x:c r="C15" s="16" t="str">
        <x:v>Client</x:v>
      </x:c>
      <x:c r="D15" s="16" t="str">
        <x:v>Before finance page</x:v>
      </x:c>
    </x:row>
    <x:row r="16" ht="34" customHeight="1">
      <x:c r="A16" s="16" t="str">
        <x:v>Assets</x:v>
      </x:c>
      <x:c r="B16" s="16" t="str">
        <x:v>Confirm image usage rights and preferred placement</x:v>
      </x:c>
      <x:c r="C16" s="16" t="str">
        <x:v>Client / Designer</x:v>
      </x:c>
      <x:c r="D16" s="16" t="str">
        <x:v>Before design</x:v>
      </x:c>
    </x:row>
    <x:row r="17" ht="34" customHeight="1">
      <x:c r="A17" s="16" t="str">
        <x:v>Assets</x:v>
      </x:c>
      <x:c r="B17" s="16" t="str">
        <x:v>Supply showroom exterior, interior, staff and product photos</x:v>
      </x:c>
      <x:c r="C17" s="16" t="str">
        <x:v>Client</x:v>
      </x:c>
      <x:c r="D17" s="16" t="str">
        <x:v>Before final design</x:v>
      </x:c>
    </x:row>
    <x:row r="18" ht="34" customHeight="1">
      <x:c r="A18" s="16" t="str">
        <x:v>Reviews</x:v>
      </x:c>
      <x:c r="B18" s="16" t="str">
        <x:v>Approve testimonials/reviews and usage permission</x:v>
      </x:c>
      <x:c r="C18" s="16" t="str">
        <x:v>Client</x:v>
      </x:c>
      <x:c r="D18" s="16" t="str">
        <x:v>Before proof sections</x:v>
      </x:c>
    </x:row>
    <x:row r="19" ht="34" customHeight="1">
      <x:c r="A19" s="16" t="str">
        <x:v>Ecommerce</x:v>
      </x:c>
      <x:c r="B19" s="16" t="str">
        <x:v>Confirm ecommerce, showroom-enquiry or hybrid purchase path</x:v>
      </x:c>
      <x:c r="C19" s="16" t="str">
        <x:v>Client</x:v>
      </x:c>
      <x:c r="D19" s="16" t="str">
        <x:v>Before checkout QA</x:v>
      </x:c>
    </x:row>
    <x:row r="20" ht="34" customHeight="1">
      <x:c r="A20" s="16" t="str">
        <x:v>Access</x:v>
      </x:c>
      <x:c r="B20" s="16" t="str">
        <x:v>Confirm Shopify, GA4, GSC, GBP and Merchant Center access</x:v>
      </x:c>
      <x:c r="C20" s="16" t="str">
        <x:v>Client / DN</x:v>
      </x:c>
      <x:c r="D20" s="16" t="str">
        <x:v>Before launch QA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9b33e1444dda418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41" hidden="0" customWidth="1"/>
    <x:col min="3" max="3" width="21" hidden="0" customWidth="1"/>
    <x:col min="4" max="4" width="48" hidden="0" customWidth="1"/>
    <x:col min="5" max="5" width="70" hidden="0" customWidth="1"/>
  </x:cols>
  <x:sheetData>
    <x:row r="1" ht="30" customHeight="1">
      <x:c r="A1" s="3" t="str">
        <x:v>Evidence And Source Register</x:v>
      </x:c>
      <x:c r="B1" s="3"/>
      <x:c r="C1" s="3"/>
      <x:c r="D1" s="3"/>
      <x:c r="E1" s="3"/>
    </x:row>
    <x:row r="2" ht="34" customHeight="1">
      <x:c r="A2" s="7" t="str">
        <x:v>Use the dated source that supports each claim. Recheck live sources before publishing.</x:v>
      </x:c>
      <x:c r="B2" s="7"/>
      <x:c r="C2" s="7"/>
      <x:c r="D2" s="7"/>
      <x:c r="E2" s="7"/>
    </x:row>
    <x:row r="4" ht="30" customHeight="1">
      <x:c r="A4" s="12" t="str">
        <x:v>Source</x:v>
      </x:c>
      <x:c r="B4" s="12" t="str">
        <x:v>File / Item</x:v>
      </x:c>
      <x:c r="C4" s="12" t="str">
        <x:v>Date</x:v>
      </x:c>
      <x:c r="D4" s="12" t="str">
        <x:v>Use</x:v>
      </x:c>
      <x:c r="E4" s="12" t="str">
        <x:v>Location / URL</x:v>
      </x:c>
    </x:row>
    <x:row r="5" ht="34" customHeight="1">
      <x:c r="A5" s="16" t="str">
        <x:v>Latest product workbook</x:v>
      </x:c>
      <x:c r="B5" s="16" t="str">
        <x:v>products_export_1-2026-07-21.xlsx</x:v>
      </x:c>
      <x:c r="C5" s="16" t="str">
        <x:v>Client email 21 July 2026</x:v>
      </x:c>
      <x:c r="D5" s="16" t="str">
        <x:v>Product, Feel and Sleeper data</x:v>
      </x:c>
      <x:c r="E5" s="16" t="str">
        <x:v>Local and Drive source file</x:v>
      </x:c>
    </x:row>
    <x:row r="6" ht="34" customHeight="1">
      <x:c r="A6" s="16" t="str">
        <x:v>Bed Studio image pack</x:v>
      </x:c>
      <x:c r="B6" s="16" t="str">
        <x:v>11 JPG files</x:v>
      </x:c>
      <x:c r="C6" s="16" t="str">
        <x:v>Client email 15 July 2026</x:v>
      </x:c>
      <x:c r="D6" s="16" t="str">
        <x:v>Bed Studio-specific imagery</x:v>
      </x:c>
      <x:c r="E6" s="16" t="str">
        <x:v>Local and Drive assets folder</x:v>
      </x:c>
    </x:row>
    <x:row r="7" ht="34" customHeight="1">
      <x:c r="A7" s="16" t="str">
        <x:v>MLILY reference PDF</x:v>
      </x:c>
      <x:c r="B7" s="16" t="str">
        <x:v>bedstudio-image-map-2026-07-15.pdf</x:v>
      </x:c>
      <x:c r="C7" s="16" t="str">
        <x:v>Client email 15 July 2026</x:v>
      </x:c>
      <x:c r="D7" s="16" t="str">
        <x:v>Polar Wave, Carbon Cool and Onyx reference</x:v>
      </x:c>
      <x:c r="E7" s="16" t="str">
        <x:v>Local and Drive raw source</x:v>
      </x:c>
    </x:row>
    <x:row r="8" ht="34" customHeight="1">
      <x:c r="A8" s="16" t="str">
        <x:v>Fireflies meeting</x:v>
      </x:c>
      <x:c r="B8" s="16" t="str">
        <x:v>01KX23FMKAA727F8RG90BCFX7Q</x:v>
      </x:c>
      <x:c r="C8" s="16" t="str">
        <x:v>9 July 2026</x:v>
      </x:c>
      <x:c r="D8" s="16" t="str">
        <x:v>Premium position, Prestige direction, products and launch</x:v>
      </x:c>
      <x:c r="E8" s="16" t="str">
        <x:v>https://app.fireflies.ai/view/01KX23FMKAA727F8RG90BCFX7Q</x:v>
      </x:c>
    </x:row>
    <x:row r="9" ht="34" customHeight="1">
      <x:c r="A9" s="16" t="str">
        <x:v>Live website</x:v>
      </x:c>
      <x:c r="B9" s="16" t="str">
        <x:v>bedstudio.co.nz</x:v>
      </x:c>
      <x:c r="C9" s="16" t="str">
        <x:v>Checked 29 July 2026</x:v>
      </x:c>
      <x:c r="D9" s="16" t="str">
        <x:v>Theme, metadata and visible content</x:v>
      </x:c>
      <x:c r="E9" s="16" t="str">
        <x:v>https://www.bedstudio.co.nz/</x:v>
      </x:c>
    </x:row>
    <x:row r="10" ht="34" customHeight="1">
      <x:c r="A10" s="16" t="str">
        <x:v>Live sitemap</x:v>
      </x:c>
      <x:c r="B10" s="16" t="str">
        <x:v>Shopify sitemap</x:v>
      </x:c>
      <x:c r="C10" s="16" t="str">
        <x:v>Checked 29 July 2026</x:v>
      </x:c>
      <x:c r="D10" s="16" t="str">
        <x:v>114 products, 2 collections, 1 standard page</x:v>
      </x:c>
      <x:c r="E10" s="16" t="str">
        <x:v>https://www.bedstudio.co.nz/sitemap.xml</x:v>
      </x:c>
    </x:row>
    <x:row r="11" ht="34" customHeight="1">
      <x:c r="A11" s="16" t="str">
        <x:v>GBP screenshot</x:v>
      </x:c>
      <x:c r="B11" s="16" t="str">
        <x:v>Bed Studio GBP</x:v>
      </x:c>
      <x:c r="C11" s="16" t="str">
        <x:v>Supplied 10 July 2026</x:v>
      </x:c>
      <x:c r="D11" s="16" t="str">
        <x:v>Name, address and phone</x:v>
      </x:c>
      <x:c r="E11" s="16" t="str">
        <x:v>Local raw source / Drive</x:v>
      </x:c>
    </x:row>
    <x:row r="12" ht="34" customHeight="1">
      <x:c r="A12" s="16" t="str">
        <x:v>Bedpost Newmarket</x:v>
      </x:c>
      <x:c r="B12" s="16" t="str">
        <x:v>Competitor page</x:v>
      </x:c>
      <x:c r="C12" s="16" t="str">
        <x:v>Checked 29 July 2026</x:v>
      </x:c>
      <x:c r="D12" s="16" t="str">
        <x:v>Local competitor</x:v>
      </x:c>
      <x:c r="E12" s="16" t="str">
        <x:v>https://www.bedpost.co.nz/stores/detail/newmarket</x:v>
      </x:c>
    </x:row>
    <x:row r="13" ht="34" customHeight="1">
      <x:c r="A13" s="16" t="str">
        <x:v>Sleep Gallery</x:v>
      </x:c>
      <x:c r="B13" s="16" t="str">
        <x:v>Competitor site</x:v>
      </x:c>
      <x:c r="C13" s="16" t="str">
        <x:v>Checked 29 July 2026</x:v>
      </x:c>
      <x:c r="D13" s="16" t="str">
        <x:v>Auckland/NZ specialist</x:v>
      </x:c>
      <x:c r="E13" s="16" t="str">
        <x:v>https://www.sleepgallery.co.nz/</x:v>
      </x:c>
    </x:row>
    <x:row r="14" ht="34" customHeight="1">
      <x:c r="A14" s="16" t="str">
        <x:v>Simply Beds</x:v>
      </x:c>
      <x:c r="B14" s="16" t="str">
        <x:v>Competitor site</x:v>
      </x:c>
      <x:c r="C14" s="16" t="str">
        <x:v>Checked 29 July 2026</x:v>
      </x:c>
      <x:c r="D14" s="16" t="str">
        <x:v>Auckland/NZ retailer</x:v>
      </x:c>
      <x:c r="E14" s="16" t="str">
        <x:v>https://simplybedsnz.co.nz/</x:v>
      </x:c>
    </x:row>
    <x:row r="15" ht="34" customHeight="1">
      <x:c r="A15" s="16" t="str">
        <x:v>Natural Beds</x:v>
      </x:c>
      <x:c r="B15" s="16" t="str">
        <x:v>Competitor site</x:v>
      </x:c>
      <x:c r="C15" s="16" t="str">
        <x:v>Checked 29 July 2026</x:v>
      </x:c>
      <x:c r="D15" s="16" t="str">
        <x:v>Premium/natural positioning</x:v>
      </x:c>
      <x:c r="E15" s="16" t="str">
        <x:v>https://naturalbeds.nz/</x:v>
      </x:c>
    </x:row>
    <x:row r="16" ht="34" customHeight="1">
      <x:c r="A16" s="16" t="str">
        <x:v>Napp</x:v>
      </x:c>
      <x:c r="B16" s="16" t="str">
        <x:v>Competitor site</x:v>
      </x:c>
      <x:c r="C16" s="16" t="str">
        <x:v>Checked 29 July 2026</x:v>
      </x:c>
      <x:c r="D16" s="16" t="str">
        <x:v>Adjustable beds</x:v>
      </x:c>
      <x:c r="E16" s="16" t="str">
        <x:v>https://napp.co.nz/pages/contact-us</x:v>
      </x:c>
    </x:row>
    <x:row r="17" ht="34" customHeight="1">
      <x:c r="A17" s="16" t="str">
        <x:v>Ecosa guide</x:v>
      </x:c>
      <x:c r="B17" s="16" t="str">
        <x:v>Side sleeper guide</x:v>
      </x:c>
      <x:c r="C17" s="16" t="str">
        <x:v>Checked 29 July 2026</x:v>
      </x:c>
      <x:c r="D17" s="16" t="str">
        <x:v>Sleeper-led content competitor</x:v>
      </x:c>
      <x:c r="E17" s="16" t="str">
        <x:v>https://www.ecosa.co.nz/blog/post/what-is-the-best-mattress-for-side-sleepers.html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e72ca701c1564c2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9" hidden="0" customWidth="1"/>
    <x:col min="3" max="3" width="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0" t="str">
        <x:v>BED STUDIO — WEBSITE, SEO &amp; PRODUCTION HANDOVER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35" t="str">
        <x:v>Prepared 29 July 2026 | Newmarket first, Auckland second | Latest source: client product workbook dated 21 July 2026</x:v>
      </x:c>
      <x:c r="B3" s="35"/>
      <x:c r="C3" s="35"/>
      <x:c r="D3" s="35"/>
      <x:c r="E3" s="35"/>
      <x:c r="F3" s="35"/>
      <x:c r="G3" s="35"/>
      <x:c r="H3" s="35"/>
    </x:row>
    <x:row r="4">
      <x:c r="A4" s="36"/>
      <x:c r="B4" s="36"/>
      <x:c r="C4" s="36"/>
      <x:c r="D4" s="36"/>
      <x:c r="E4" s="36"/>
      <x:c r="F4" s="36"/>
      <x:c r="G4" s="36"/>
      <x:c r="H4" s="36"/>
    </x:row>
    <x:row r="5">
      <x:c r="A5" s="37" t="str">
        <x:v>Metric</x:v>
      </x:c>
      <x:c r="B5" s="37" t="str">
        <x:v>Value</x:v>
      </x:c>
      <x:c r="C5" s="36"/>
      <x:c r="D5" s="38" t="str">
        <x:v>DECISIONS THE TEAM MUST FOLLOW</x:v>
      </x:c>
      <x:c r="E5" s="38"/>
      <x:c r="F5" s="38"/>
      <x:c r="G5" s="38"/>
      <x:c r="H5" s="38"/>
    </x:row>
    <x:row r="6">
      <x:c r="A6" s="39" t="str">
        <x:v>Planned pages</x:v>
      </x:c>
      <x:c r="B6" s="39" t="n">
        <x:f>COUNTA('Website Structure'!A5:A40)</x:f>
        <x:v>23</x:v>
      </x:c>
      <x:c r="C6" s="36"/>
      <x:c r="D6" s="40" t="str">
        <x:v>1. Prestige is shortlisted, but Horizon/Radiant is the live theme. Build Prestige unpublished.</x:v>
      </x:c>
      <x:c r="E6" s="40"/>
      <x:c r="F6" s="40"/>
      <x:c r="G6" s="40"/>
      <x:c r="H6" s="40"/>
    </x:row>
    <x:row r="7">
      <x:c r="A7" s="39" t="str">
        <x:v>Source product rows</x:v>
      </x:c>
      <x:c r="B7" s="39" t="n">
        <x:f>1074</x:f>
        <x:v>1074</x:v>
      </x:c>
      <x:c r="C7" s="36"/>
      <x:c r="D7" s="40" t="str">
        <x:v>2. Keep Budget Beds value-led and Bed Studio premium/showroom-led. Do not merge the brands.</x:v>
      </x:c>
      <x:c r="E7" s="40"/>
      <x:c r="F7" s="40"/>
      <x:c r="G7" s="40"/>
      <x:c r="H7" s="40"/>
    </x:row>
    <x:row r="8">
      <x:c r="A8" s="39" t="str">
        <x:v>Unique product handles</x:v>
      </x:c>
      <x:c r="B8" s="39" t="n">
        <x:f>COUNTA('Product Audit'!A5:A200)</x:f>
        <x:v>143</x:v>
      </x:c>
      <x:c r="C8" s="36"/>
      <x:c r="D8" s="40" t="str">
        <x:v>3. Use Size, Feel and Sleeper Type as the main customer choices.</x:v>
      </x:c>
      <x:c r="E8" s="40"/>
      <x:c r="F8" s="40"/>
      <x:c r="G8" s="40"/>
      <x:c r="H8" s="40"/>
    </x:row>
    <x:row r="9">
      <x:c r="A9" s="39" t="str">
        <x:v>Products marked Core</x:v>
      </x:c>
      <x:c r="B9" s="39" t="n">
        <x:f>COUNTIF('Product Audit'!Q5:Q200,"Core")</x:f>
        <x:v>118</x:v>
      </x:c>
      <x:c r="C9" s="36"/>
      <x:c r="D9" s="40" t="str">
        <x:v>4. Treat SleepMatch as educational guidance, not medical advice.</x:v>
      </x:c>
      <x:c r="E9" s="40"/>
      <x:c r="F9" s="40"/>
      <x:c r="G9" s="40"/>
      <x:c r="H9" s="40"/>
    </x:row>
    <x:row r="10">
      <x:c r="A10" s="39" t="str">
        <x:v>Exclude/archive candidates</x:v>
      </x:c>
      <x:c r="B10" s="39" t="n">
        <x:f>COUNTIF('Product Audit'!Q5:Q200,"Exclude / archive candidate")</x:f>
        <x:v>6</x:v>
      </x:c>
      <x:c r="C10" s="36"/>
      <x:c r="D10" s="40" t="str">
        <x:v>5. Publish only approved products. Do not import the full catalogue blindly.</x:v>
      </x:c>
      <x:c r="E10" s="40"/>
      <x:c r="F10" s="40"/>
      <x:c r="G10" s="40"/>
      <x:c r="H10" s="40"/>
    </x:row>
    <x:row r="11">
      <x:c r="A11" s="39" t="str">
        <x:v>Keyword positions confirmed</x:v>
      </x:c>
      <x:c r="B11" s="39" t="n">
        <x:f>COUNT('Keyword Map'!F5:F50)</x:f>
        <x:v>0</x:v>
      </x:c>
      <x:c r="C11" s="36"/>
      <x:c r="D11" s="40" t="str">
        <x:v>6. Exact keyword positions are not confirmed until GSC/rank tracking is available.</x:v>
      </x:c>
      <x:c r="E11" s="40"/>
      <x:c r="F11" s="40"/>
      <x:c r="G11" s="40"/>
      <x:c r="H11" s="40"/>
    </x:row>
    <x:row r="12">
      <x:c r="A12" s="39" t="str">
        <x:v>Live product URLs</x:v>
      </x:c>
      <x:c r="B12" s="39" t="n">
        <x:f>114</x:f>
        <x:v>114</x:v>
      </x:c>
      <x:c r="C12" s="36"/>
      <x:c r="D12" s="40" t="str">
        <x:v>7. Do not publish unconfirmed hours, offers, policies, delivery fees or warranties.</x:v>
      </x:c>
      <x:c r="E12" s="40"/>
      <x:c r="F12" s="40"/>
      <x:c r="G12" s="40"/>
      <x:c r="H12" s="40"/>
    </x:row>
    <x:row r="13">
      <x:c r="A13" s="36"/>
      <x:c r="B13" s="36"/>
      <x:c r="C13" s="36"/>
      <x:c r="D13" s="36"/>
      <x:c r="E13" s="36"/>
      <x:c r="F13" s="36"/>
      <x:c r="G13" s="36"/>
      <x:c r="H13" s="36"/>
    </x:row>
    <x:row r="14">
      <x:c r="A14" s="41" t="str">
        <x:v>RECOMMENDED BUILD ORDER</x:v>
      </x:c>
      <x:c r="B14" s="41"/>
      <x:c r="C14" s="41"/>
      <x:c r="D14" s="41"/>
      <x:c r="E14" s="41"/>
      <x:c r="F14" s="41"/>
      <x:c r="G14" s="41"/>
      <x:c r="H14" s="41"/>
    </x:row>
    <x:row r="15">
      <x:c r="A15" s="42" t="str">
        <x:v>1</x:v>
      </x:c>
      <x:c r="B15" s="42" t="str">
        <x:v>Prestige setup</x:v>
      </x:c>
      <x:c r="C15" s="42" t="str">
        <x:v>Install as unpublished theme; keep live holding site stable</x:v>
      </x:c>
      <x:c r="D15" s="42" t="str"/>
      <x:c r="E15" s="42" t="str"/>
      <x:c r="F15" s="42" t="str"/>
      <x:c r="G15" s="42" t="str"/>
      <x:c r="H15" s="42" t="str"/>
    </x:row>
    <x:row r="16">
      <x:c r="A16" s="42" t="str">
        <x:v>2</x:v>
      </x:c>
      <x:c r="B16" s="42" t="str">
        <x:v>Core structure</x:v>
      </x:c>
      <x:c r="C16" s="42" t="str">
        <x:v>Homepage, showroom and six primary collections</x:v>
      </x:c>
      <x:c r="D16" s="42" t="str"/>
      <x:c r="E16" s="42" t="str"/>
      <x:c r="F16" s="42" t="str"/>
      <x:c r="G16" s="42" t="str"/>
      <x:c r="H16" s="42" t="str"/>
    </x:row>
    <x:row r="17">
      <x:c r="A17" s="42" t="str">
        <x:v>3</x:v>
      </x:c>
      <x:c r="B17" s="42" t="str">
        <x:v>Trust</x:v>
      </x:c>
      <x:c r="C17" s="42" t="str">
        <x:v>About, contact, delivery, warranty, finance and FAQs after approval</x:v>
      </x:c>
      <x:c r="D17" s="42" t="str"/>
      <x:c r="E17" s="42" t="str"/>
      <x:c r="F17" s="42" t="str"/>
      <x:c r="G17" s="42" t="str"/>
      <x:c r="H17" s="42" t="str"/>
    </x:row>
    <x:row r="18">
      <x:c r="A18" s="42" t="str">
        <x:v>4</x:v>
      </x:c>
      <x:c r="B18" s="42" t="str">
        <x:v>Products</x:v>
      </x:c>
      <x:c r="C18" s="42" t="str">
        <x:v>Rewrite and QA Core products from the Product Audit tab</x:v>
      </x:c>
      <x:c r="D18" s="42" t="str"/>
      <x:c r="E18" s="42" t="str"/>
      <x:c r="F18" s="42" t="str"/>
      <x:c r="G18" s="42" t="str"/>
      <x:c r="H18" s="42" t="str"/>
    </x:row>
    <x:row r="19">
      <x:c r="A19" s="42" t="str">
        <x:v>5</x:v>
      </x:c>
      <x:c r="B19" s="42" t="str">
        <x:v>Guidance</x:v>
      </x:c>
      <x:c r="C19" s="42" t="str">
        <x:v>SleepMatch and first Feel/Sleeper guides</x:v>
      </x:c>
      <x:c r="D19" s="42" t="str"/>
      <x:c r="E19" s="42" t="str"/>
      <x:c r="F19" s="42" t="str"/>
      <x:c r="G19" s="42" t="str"/>
      <x:c r="H19" s="42" t="str"/>
    </x:row>
    <x:row r="20">
      <x:c r="A20" s="42" t="str">
        <x:v>6</x:v>
      </x:c>
      <x:c r="B20" s="42" t="str">
        <x:v>Launch</x:v>
      </x:c>
      <x:c r="C20" s="42" t="str">
        <x:v>Mobile, SEO, schema, tracking, redirect, cart and checkout QA</x:v>
      </x:c>
      <x:c r="D20" s="42" t="str"/>
      <x:c r="E20" s="42" t="str"/>
      <x:c r="F20" s="42" t="str"/>
      <x:c r="G20" s="42" t="str"/>
      <x:c r="H20" s="42" t="str"/>
    </x:row>
  </x:sheetData>
  <x:mergeCells>
    <x:mergeCell ref="A1:H2"/>
    <x:mergeCell ref="A3:H3"/>
    <x:mergeCell ref="D5:H5"/>
    <x:mergeCell ref="D6:H6"/>
    <x:mergeCell ref="D7:H7"/>
    <x:mergeCell ref="D8:H8"/>
    <x:mergeCell ref="D9:H9"/>
    <x:mergeCell ref="D10:H10"/>
    <x:mergeCell ref="D11:H11"/>
    <x:mergeCell ref="D12:H12"/>
    <x:mergeCell ref="A14:H14"/>
    <x:mergeCell ref="C15:H15"/>
    <x:mergeCell ref="C16:H16"/>
    <x:mergeCell ref="C17:H17"/>
    <x:mergeCell ref="C18:H18"/>
    <x:mergeCell ref="C19:H19"/>
    <x:mergeCell ref="C20:H20"/>
  </x:mergeCells>
  <x:pageMargins left="0.7" right="0.7" top="0.75" bottom="0.75" header="0.3" footer="0.3"/>
</x:worksheet>
</file>